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7890" windowHeight="4380" activeTab="1"/>
  </bookViews>
  <sheets>
    <sheet name="技术指标" sheetId="2" r:id="rId1"/>
    <sheet name="我的自选" sheetId="1" r:id="rId2"/>
  </sheets>
  <functionGroups/>
  <definedNames>
    <definedName name="_xlnm._FilterDatabase" localSheetId="1" hidden="1">我的自选!$C$2:$K$29</definedName>
    <definedName name="_xlnm.Print_Area" localSheetId="1">我的自选!$A:$S</definedName>
    <definedName name="_xlnm.Print_Titles" localSheetId="1">我的自选!$2:$2</definedName>
  </definedNames>
  <calcPr calcId="125725"/>
</workbook>
</file>

<file path=xl/calcChain.xml><?xml version="1.0" encoding="utf-8"?>
<calcChain xmlns="http://schemas.openxmlformats.org/spreadsheetml/2006/main">
  <c r="T84" i="1"/>
  <c r="T83"/>
  <c r="T81"/>
  <c r="T80"/>
</calcChain>
</file>

<file path=xl/comments1.xml><?xml version="1.0" encoding="utf-8"?>
<comments xmlns="http://schemas.openxmlformats.org/spreadsheetml/2006/main">
  <authors>
    <author>YIP SIU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应用原则：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宋体"/>
            <family val="3"/>
            <charset val="134"/>
          </rPr>
          <t>当ＤＩＦ由下向上突破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，形成黄金交叉，既白色的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上穿黄色的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形成的交叉。同时ＢＡＲ（绿柱线）缩短，为买入信号。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宋体"/>
            <family val="3"/>
            <charset val="134"/>
          </rPr>
          <t>当ＤＩＦ由上向下突破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，形成死亡交叉，既白色的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下穿黄色的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形成的交叉。同时ＢＡＲ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红柱线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 xml:space="preserve">缩短，为卖出信号。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顶背离：当股价指数逐波升高，而ＤＩＦ及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不是同步上升，而是逐波下降，与股价走势形成顶背离。预示股价即将下跌。如果此时出现ＤＩＦ两次由上向下穿过</t>
        </r>
        <r>
          <rPr>
            <sz val="9"/>
            <color indexed="81"/>
            <rFont val="Tahoma"/>
            <family val="2"/>
          </rPr>
          <t xml:space="preserve"> DEA</t>
        </r>
        <r>
          <rPr>
            <sz val="9"/>
            <color indexed="81"/>
            <rFont val="宋体"/>
            <family val="3"/>
            <charset val="134"/>
          </rPr>
          <t xml:space="preserve">，形成两次死亡交叉，则股价将大幅下跌。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底背离：当股价指数逐波下行，而ＤＩＦ及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不是同步下降，而是逐波上升，与股价走势形成底背离，预示着股价即将上涨。如果此时出现ＤＩＦ两次由下向上穿过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，形成两次黄金交叉，则股价即将大幅度上涨。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指标主要用于对大势中长期的上涨或下跌趋势进行判断，当股价处于盘局或指数波动不明显时，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买卖信号较不明显。当股价在短时间内上下波动较大时，因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 xml:space="preserve">的移动相当缓慢，所以不会立即对股价的变动产生买卖信号。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主要是利用长短期的二条平滑平均线，计算两者之间的差离值，作为研判行情买卖之依据。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指标是基于均线的构造原理，对价格收盘价进行平滑处理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求出算术平均值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后的一种趋向类指标。它主要由两部分组成，即正负差</t>
        </r>
        <r>
          <rPr>
            <sz val="9"/>
            <color indexed="81"/>
            <rFont val="Tahoma"/>
            <family val="2"/>
          </rPr>
          <t>(DIF)</t>
        </r>
        <r>
          <rPr>
            <sz val="9"/>
            <color indexed="81"/>
            <rFont val="宋体"/>
            <family val="3"/>
            <charset val="134"/>
          </rPr>
          <t>、异同平均数</t>
        </r>
        <r>
          <rPr>
            <sz val="9"/>
            <color indexed="81"/>
            <rFont val="Tahoma"/>
            <family val="2"/>
          </rPr>
          <t>(DEA)</t>
        </r>
        <r>
          <rPr>
            <sz val="9"/>
            <color indexed="81"/>
            <rFont val="宋体"/>
            <family val="3"/>
            <charset val="134"/>
          </rPr>
          <t>，其中，正负差是核心，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是辅助。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是快速平滑移动平均线</t>
        </r>
        <r>
          <rPr>
            <sz val="9"/>
            <color indexed="81"/>
            <rFont val="Tahoma"/>
            <family val="2"/>
          </rPr>
          <t>(EMA1)</t>
        </r>
        <r>
          <rPr>
            <sz val="9"/>
            <color indexed="81"/>
            <rFont val="宋体"/>
            <family val="3"/>
            <charset val="134"/>
          </rPr>
          <t>和慢速平滑移动平均线</t>
        </r>
        <r>
          <rPr>
            <sz val="9"/>
            <color indexed="81"/>
            <rFont val="Tahoma"/>
            <family val="2"/>
          </rPr>
          <t>(EMA2)</t>
        </r>
        <r>
          <rPr>
            <sz val="9"/>
            <color indexed="81"/>
            <rFont val="宋体"/>
            <family val="3"/>
            <charset val="134"/>
          </rPr>
          <t>的差。
在现有的技术分析软件中，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常用参数是快速平滑移动平均线为</t>
        </r>
        <r>
          <rPr>
            <sz val="9"/>
            <color indexed="81"/>
            <rFont val="Tahoma"/>
            <family val="2"/>
          </rPr>
          <t>12</t>
        </r>
        <r>
          <rPr>
            <sz val="9"/>
            <color indexed="81"/>
            <rFont val="宋体"/>
            <family val="3"/>
            <charset val="134"/>
          </rPr>
          <t>，慢速平滑移动平均线参数为</t>
        </r>
        <r>
          <rPr>
            <sz val="9"/>
            <color indexed="81"/>
            <rFont val="Tahoma"/>
            <family val="2"/>
          </rPr>
          <t>26</t>
        </r>
        <r>
          <rPr>
            <sz val="9"/>
            <color indexed="81"/>
            <rFont val="宋体"/>
            <family val="3"/>
            <charset val="134"/>
          </rPr>
          <t>。此外，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还有一个辅助指标</t>
        </r>
        <r>
          <rPr>
            <sz val="9"/>
            <color indexed="81"/>
            <rFont val="Tahoma"/>
            <family val="2"/>
          </rPr>
          <t>——</t>
        </r>
        <r>
          <rPr>
            <sz val="9"/>
            <color indexed="81"/>
            <rFont val="宋体"/>
            <family val="3"/>
            <charset val="134"/>
          </rPr>
          <t>柱状线</t>
        </r>
        <r>
          <rPr>
            <sz val="9"/>
            <color indexed="81"/>
            <rFont val="Tahoma"/>
            <family val="2"/>
          </rPr>
          <t>(BAR)</t>
        </r>
        <r>
          <rPr>
            <sz val="9"/>
            <color indexed="81"/>
            <rFont val="宋体"/>
            <family val="3"/>
            <charset val="134"/>
          </rPr>
          <t>。在大多数技术分析软件中，柱状线是有颜色的，在低于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轴以下是绿色，高于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轴以上是红色，前者代表趋势较弱，后者代表趋势较强。
下面我们来说一下使用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指标所应当遵循的基本原则：
</t>
        </r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轴以上时，属于多头市场，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线时是买入信号。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轴以上运行，仅仅只能视为一次短暂的回落，而不能确定趋势转折，此时是否卖出还需要借助其他指标来综合判断。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轴以下时，属于空头市场。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线时是卖出信号，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轴以下运行，仅仅只能视为一次短暂的反弹，而不能确定趋势转折，此时是否买入还需要借助其他指标来综合判断。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柱状线收缩和放大。一般来说，柱状线的持续收缩表明趋势运行的强度正在逐渐减弱，当柱状线颜色发生改变时，趋势确定转折。但在一些时间周期不长的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指标使用过程中，这一观点并不能完全成立。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形态和背离情况。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指标也强调形态和背离现象。当形态上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线形成高位看跌形态，如头肩顶、双头等，应当保持警惕；而当形态上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>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线形成低位看涨形态时，应考虑进行买入。在判断形态时以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线为主，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线为辅。当价格持续升高，而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指标走出一波比一波低的走势时，意味着顶背离出现，预示着价格将可能在不久之后出现转头下行，当价格持续降低，而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指标却走出一波高于一波的走势时，意味着底背离现象的出现，预示着价格将很快结束下跌，转头上涨。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>牛皮市道中指标将失真。当价格并不是自上而下或者自下而上运行，而是保持水平方向的移动时，我们称之为牛皮市道，此时虚假信号将在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指标中产生，指标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线的交叉将会十分频繁，同时柱状线的收放也将频频出现，颜色也会常常由绿转红或者由红转绿，此时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指标处于失真状态，使用价值相应降低。
用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的曲线形状进行分析，主要是利用指标相背离的原则。具体为：如果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的走向与股价走向相背离，则是采取具体行动的时间。但是，根据以上原则来指导实际操作，准确性并不能令人满意。经过实践、摸索和总结，综合运用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日均价线，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日均量线和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，其准确性大为提高。</t>
        </r>
      </text>
    </comment>
  </commentList>
</comments>
</file>

<file path=xl/sharedStrings.xml><?xml version="1.0" encoding="utf-8"?>
<sst xmlns="http://schemas.openxmlformats.org/spreadsheetml/2006/main" count="298" uniqueCount="218">
  <si>
    <t>股票名称</t>
    <phoneticPr fontId="1" type="noConversion"/>
  </si>
  <si>
    <t>广东</t>
  </si>
  <si>
    <t>山东</t>
  </si>
  <si>
    <t>湖北</t>
  </si>
  <si>
    <t>河北</t>
  </si>
  <si>
    <t>重庆</t>
  </si>
  <si>
    <t>安徽</t>
  </si>
  <si>
    <t>江苏</t>
  </si>
  <si>
    <t>北京</t>
  </si>
  <si>
    <t>深圳</t>
  </si>
  <si>
    <t>新疆</t>
  </si>
  <si>
    <t>山西</t>
  </si>
  <si>
    <t>河南</t>
  </si>
  <si>
    <t>辽宁</t>
  </si>
  <si>
    <t>湖南</t>
  </si>
  <si>
    <t>SZ000926</t>
  </si>
  <si>
    <t>SZ000937</t>
  </si>
  <si>
    <t>SH600418</t>
  </si>
  <si>
    <t>SZ000527</t>
  </si>
  <si>
    <t>SZ002249</t>
  </si>
  <si>
    <t>SZ002165</t>
  </si>
  <si>
    <t>SZ000680</t>
  </si>
  <si>
    <t>SH601169</t>
  </si>
  <si>
    <t>SH600036</t>
  </si>
  <si>
    <t>SH600383</t>
  </si>
  <si>
    <t>SZ000024</t>
  </si>
  <si>
    <t>SH600690</t>
  </si>
  <si>
    <t>SH600359</t>
  </si>
  <si>
    <t>SH600037</t>
  </si>
  <si>
    <t>SH600276</t>
  </si>
  <si>
    <t>SZ000898</t>
  </si>
  <si>
    <t>SH600585</t>
  </si>
  <si>
    <t>SZ000157</t>
  </si>
  <si>
    <t>SZ000338</t>
  </si>
  <si>
    <t>SZ000612</t>
  </si>
  <si>
    <t>SH600875</t>
  </si>
  <si>
    <t>四川</t>
  </si>
  <si>
    <t>SH600718</t>
  </si>
  <si>
    <t>沈阳</t>
  </si>
  <si>
    <t>SZ000063</t>
  </si>
  <si>
    <t>SH600028</t>
  </si>
  <si>
    <t>SH600029</t>
  </si>
  <si>
    <t>SH600016</t>
  </si>
  <si>
    <t>SH600033</t>
  </si>
  <si>
    <t>SZ000627</t>
  </si>
  <si>
    <t>SH600348</t>
  </si>
  <si>
    <t>SZ000625</t>
  </si>
  <si>
    <t>福建</t>
  </si>
  <si>
    <t>成交量</t>
  </si>
  <si>
    <t>成交额</t>
  </si>
  <si>
    <t>WR</t>
    <phoneticPr fontId="4" type="noConversion"/>
  </si>
  <si>
    <t>ARBR</t>
    <phoneticPr fontId="4" type="noConversion"/>
  </si>
  <si>
    <t>名称</t>
    <phoneticPr fontId="4" type="noConversion"/>
  </si>
  <si>
    <t>释义说明</t>
    <phoneticPr fontId="4" type="noConversion"/>
  </si>
  <si>
    <t>MACD</t>
    <phoneticPr fontId="4" type="noConversion"/>
  </si>
  <si>
    <t>Moving Average Convergenceand Divergence称为指数平滑异同移动平均线，是从双移动平均线发展而来的，由快的移动平均线减去慢的移动平均线,MACD的意义和双移动平均线基本相同,但阅读起来更方便。当MACD从负数转向正数，是买的信号。当MACD从正数转向负数，是卖的信号。当MACD以大角度变化，表示快的移动平均线和慢的移动平均线的差距非常迅速的拉开，代表了一个市场大趋势的转变。ＭＡＣＤ是GeralAppel于1979年提出的，它是一项利用短期（常用为12日）移动平均线与长期（常用为26日）移动平均线之间的聚合与分离状况，对买进、卖出时机作出研判的技术指标。</t>
    <phoneticPr fontId="4" type="noConversion"/>
  </si>
  <si>
    <t>KDJ</t>
    <phoneticPr fontId="4" type="noConversion"/>
  </si>
  <si>
    <t>其综合动量观念、强弱指标及移动平均线的优点，早年引用在期货投资方面，功能颇为显著，目前为股市中最常被使用的指标之一。</t>
    <phoneticPr fontId="4" type="noConversion"/>
  </si>
  <si>
    <t>RSI</t>
    <phoneticPr fontId="4" type="noConversion"/>
  </si>
  <si>
    <t>VR</t>
    <phoneticPr fontId="4" type="noConversion"/>
  </si>
  <si>
    <t>OBV</t>
    <phoneticPr fontId="4" type="noConversion"/>
  </si>
  <si>
    <t>ASI</t>
    <phoneticPr fontId="4" type="noConversion"/>
  </si>
  <si>
    <t>BOLL</t>
    <phoneticPr fontId="4" type="noConversion"/>
  </si>
  <si>
    <t>EXPMA</t>
    <phoneticPr fontId="4" type="noConversion"/>
  </si>
  <si>
    <t>DMI</t>
    <phoneticPr fontId="4" type="noConversion"/>
  </si>
  <si>
    <t>VOL</t>
    <phoneticPr fontId="4" type="noConversion"/>
  </si>
  <si>
    <t>涨跌幅</t>
    <phoneticPr fontId="1" type="noConversion"/>
  </si>
  <si>
    <t>买①</t>
    <phoneticPr fontId="1" type="noConversion"/>
  </si>
  <si>
    <t xml:space="preserve"> 卖①</t>
    <phoneticPr fontId="1" type="noConversion"/>
  </si>
  <si>
    <t>开盘</t>
    <phoneticPr fontId="1" type="noConversion"/>
  </si>
  <si>
    <t>昨收</t>
    <phoneticPr fontId="1" type="noConversion"/>
  </si>
  <si>
    <t>成交价</t>
    <phoneticPr fontId="1" type="noConversion"/>
  </si>
  <si>
    <t>最高价</t>
    <phoneticPr fontId="1" type="noConversion"/>
  </si>
  <si>
    <t>最低价</t>
    <phoneticPr fontId="1" type="noConversion"/>
  </si>
  <si>
    <t>振幅</t>
    <phoneticPr fontId="1" type="noConversion"/>
  </si>
  <si>
    <t>SH600970</t>
    <phoneticPr fontId="1" type="noConversion"/>
  </si>
  <si>
    <t>北京</t>
    <phoneticPr fontId="1" type="noConversion"/>
  </si>
  <si>
    <t>制造业 &gt; 工业: 专用设备制造</t>
    <phoneticPr fontId="1" type="noConversion"/>
  </si>
  <si>
    <t>制造业 &gt; 工业: 交通运输设备制造</t>
    <phoneticPr fontId="1" type="noConversion"/>
  </si>
  <si>
    <t>制造业 &gt; 工业: 有色金属冶炼及压延加工</t>
    <phoneticPr fontId="1" type="noConversion"/>
  </si>
  <si>
    <t>制造业 &gt; 工业: 黑色金属冶炼及压延加工</t>
    <phoneticPr fontId="1" type="noConversion"/>
  </si>
  <si>
    <t>制造业 &gt; 工业: 电器机械及器材制造</t>
    <phoneticPr fontId="1" type="noConversion"/>
  </si>
  <si>
    <t>制造业 &gt; 工业: 化学原料及化学制品制造</t>
    <phoneticPr fontId="1" type="noConversion"/>
  </si>
  <si>
    <t>制造业 &gt; 工业: 化学原料及化学制品制造</t>
    <phoneticPr fontId="1" type="noConversion"/>
  </si>
  <si>
    <t>传播与文化产业 &gt; 工业: 信息传播服务</t>
    <phoneticPr fontId="1" type="noConversion"/>
  </si>
  <si>
    <t>建筑业 &gt; 工业: 土木工程建筑</t>
    <phoneticPr fontId="1" type="noConversion"/>
  </si>
  <si>
    <t>制造业 &gt; 工业: 医药制造</t>
    <phoneticPr fontId="1" type="noConversion"/>
  </si>
  <si>
    <t>农、林、牧、渔业 &gt; 工业: 种植</t>
    <phoneticPr fontId="1" type="noConversion"/>
  </si>
  <si>
    <t>制造业 &gt; 工业: 电器机械及器材制造</t>
    <phoneticPr fontId="1" type="noConversion"/>
  </si>
  <si>
    <t>交通运输、仓储业 &gt; 工业: 航空运输</t>
    <phoneticPr fontId="1" type="noConversion"/>
  </si>
  <si>
    <t>交通运输、仓储业 &gt; 工业: 公路运输</t>
    <phoneticPr fontId="1" type="noConversion"/>
  </si>
  <si>
    <t>采掘业 &gt; 工业: 煤炭采选</t>
    <phoneticPr fontId="1" type="noConversion"/>
  </si>
  <si>
    <t>采掘业 &gt; 工业: 煤炭采选</t>
    <phoneticPr fontId="1" type="noConversion"/>
  </si>
  <si>
    <t>采掘业 &gt; 工业: 石油和天然气开采</t>
    <phoneticPr fontId="1" type="noConversion"/>
  </si>
  <si>
    <t>信息技术业 &gt; 工业: 通信及相关设备制造</t>
    <phoneticPr fontId="1" type="noConversion"/>
  </si>
  <si>
    <t>信息技术业 &gt; 工业: 计算机应用服务</t>
    <phoneticPr fontId="1" type="noConversion"/>
  </si>
  <si>
    <t>金融、保险业 &gt; 工业: 银行</t>
    <phoneticPr fontId="1" type="noConversion"/>
  </si>
  <si>
    <t>金融、保险业 &gt; 工业: 其他商业银行</t>
    <phoneticPr fontId="1" type="noConversion"/>
  </si>
  <si>
    <t>制造业 &gt; 工业: 汽车制造</t>
    <phoneticPr fontId="1" type="noConversion"/>
  </si>
  <si>
    <t>制造业 &gt; 工业: 水泥制造</t>
    <phoneticPr fontId="1" type="noConversion"/>
  </si>
  <si>
    <t>房地产业 &gt; 工业: 房地产开发与经营</t>
    <phoneticPr fontId="1" type="noConversion"/>
  </si>
  <si>
    <t>SH600894</t>
    <phoneticPr fontId="1" type="noConversion"/>
  </si>
  <si>
    <t>制造业 &gt; 工业: 黑色金属冶炼及压延加工</t>
    <phoneticPr fontId="1" type="noConversion"/>
  </si>
  <si>
    <t>5-17：STK论坛RS推荐18.5以下买进。</t>
    <phoneticPr fontId="1" type="noConversion"/>
  </si>
  <si>
    <t>SH601328</t>
    <phoneticPr fontId="1" type="noConversion"/>
  </si>
  <si>
    <t>金融、保险业 &gt; 工业: 银行</t>
    <phoneticPr fontId="1" type="noConversion"/>
  </si>
  <si>
    <t>金融、保险业 &gt; 工业: 银行</t>
    <phoneticPr fontId="1" type="noConversion"/>
  </si>
  <si>
    <t>SZ000001</t>
    <phoneticPr fontId="1" type="noConversion"/>
  </si>
  <si>
    <t>SH600000</t>
    <phoneticPr fontId="1" type="noConversion"/>
  </si>
  <si>
    <t>金融、保险业 &gt; 工业: 银行</t>
  </si>
  <si>
    <t>待完善……</t>
    <phoneticPr fontId="4" type="noConversion"/>
  </si>
  <si>
    <t>SH600172</t>
    <phoneticPr fontId="1" type="noConversion"/>
  </si>
  <si>
    <t>[股票
代码]</t>
    <phoneticPr fontId="1" type="noConversion"/>
  </si>
  <si>
    <t>[所属
地区]</t>
    <phoneticPr fontId="1" type="noConversion"/>
  </si>
  <si>
    <t>[所属
行业]</t>
    <phoneticPr fontId="1" type="noConversion"/>
  </si>
  <si>
    <t>[委托价]</t>
    <phoneticPr fontId="1" type="noConversion"/>
  </si>
  <si>
    <t>[投资日志]</t>
    <phoneticPr fontId="1" type="noConversion"/>
  </si>
  <si>
    <t>河南</t>
    <phoneticPr fontId="1" type="noConversion"/>
  </si>
  <si>
    <t>制造业 &gt; 工业: 非金属矿物制品</t>
    <phoneticPr fontId="1" type="noConversion"/>
  </si>
  <si>
    <t>上海</t>
    <phoneticPr fontId="1" type="noConversion"/>
  </si>
  <si>
    <t>5-21:买入</t>
    <phoneticPr fontId="1" type="noConversion"/>
  </si>
  <si>
    <t>盈亏
比率</t>
    <phoneticPr fontId="1" type="noConversion"/>
  </si>
  <si>
    <t>SZ002258</t>
    <phoneticPr fontId="1" type="noConversion"/>
  </si>
  <si>
    <t>sz000976</t>
    <phoneticPr fontId="1" type="noConversion"/>
  </si>
  <si>
    <t>sh601866</t>
    <phoneticPr fontId="1" type="noConversion"/>
  </si>
  <si>
    <t>sh600035</t>
    <phoneticPr fontId="1" type="noConversion"/>
  </si>
  <si>
    <t>sz000488</t>
    <phoneticPr fontId="1" type="noConversion"/>
  </si>
  <si>
    <t>sh600115</t>
    <phoneticPr fontId="1" type="noConversion"/>
  </si>
  <si>
    <t>sh600196</t>
    <phoneticPr fontId="1" type="noConversion"/>
  </si>
  <si>
    <t>sh600509</t>
    <phoneticPr fontId="1" type="noConversion"/>
  </si>
  <si>
    <t>sh600635</t>
    <phoneticPr fontId="1" type="noConversion"/>
  </si>
  <si>
    <t>sh600978</t>
    <phoneticPr fontId="1" type="noConversion"/>
  </si>
  <si>
    <t>sh601106</t>
    <phoneticPr fontId="1" type="noConversion"/>
  </si>
  <si>
    <t>20110324, B, 600115, 200, 6.31</t>
  </si>
  <si>
    <t>20110408, B, 600196, 100, 11.99</t>
  </si>
  <si>
    <t>20110415, B, 600509, 100, 12.72</t>
  </si>
  <si>
    <t>20110412, B, 600635, 200, 7.11</t>
  </si>
  <si>
    <t>20110422, B, 600978, 200, 6.18</t>
  </si>
  <si>
    <t>20110407, B, 601106, 200, 5.69</t>
  </si>
  <si>
    <t>jie</t>
    <phoneticPr fontId="1" type="noConversion"/>
  </si>
  <si>
    <t>gaofang</t>
    <phoneticPr fontId="1" type="noConversion"/>
  </si>
  <si>
    <t>20110509, B, 600115,5000, 6.2</t>
    <phoneticPr fontId="1" type="noConversion"/>
  </si>
  <si>
    <t>20110509, B, 600115, 1500, 6.2</t>
    <phoneticPr fontId="1" type="noConversion"/>
  </si>
  <si>
    <t>sz000725</t>
    <phoneticPr fontId="1" type="noConversion"/>
  </si>
  <si>
    <t>sh600403</t>
    <phoneticPr fontId="1" type="noConversion"/>
  </si>
  <si>
    <t>sh600456</t>
    <phoneticPr fontId="1" type="noConversion"/>
  </si>
  <si>
    <t>sh600237</t>
    <phoneticPr fontId="1" type="noConversion"/>
  </si>
  <si>
    <t>20110516, B, 600509, 100, 13.3</t>
    <phoneticPr fontId="1" type="noConversion"/>
  </si>
  <si>
    <t>20110407, B, 600456, 300, 27.42</t>
    <phoneticPr fontId="1" type="noConversion"/>
  </si>
  <si>
    <t>20110518, B, 600978, 200, 6.55</t>
    <phoneticPr fontId="1" type="noConversion"/>
  </si>
  <si>
    <t>20110810, B, 600509, 100, 9.8</t>
    <phoneticPr fontId="1" type="noConversion"/>
  </si>
  <si>
    <t>20110810, B, 600635, 100, 5.00</t>
    <phoneticPr fontId="1" type="noConversion"/>
  </si>
  <si>
    <t>20110810, B, 600115, 100, 5.00</t>
    <phoneticPr fontId="1" type="noConversion"/>
  </si>
  <si>
    <t>20110810, B, 601106, 100, 4.00</t>
    <phoneticPr fontId="1" type="noConversion"/>
  </si>
  <si>
    <t>20110811, B, 601106, 100, 3.97</t>
    <phoneticPr fontId="1" type="noConversion"/>
  </si>
  <si>
    <t>sh600260</t>
    <phoneticPr fontId="1" type="noConversion"/>
  </si>
  <si>
    <t>20110811, B, 601106, 100, 6.11</t>
    <phoneticPr fontId="1" type="noConversion"/>
  </si>
  <si>
    <t>sold</t>
    <phoneticPr fontId="1" type="noConversion"/>
  </si>
  <si>
    <t>watch</t>
    <phoneticPr fontId="1" type="noConversion"/>
  </si>
  <si>
    <t>20110815, S, 000725, 36000, 2.55</t>
    <phoneticPr fontId="1" type="noConversion"/>
  </si>
  <si>
    <t>buy</t>
    <phoneticPr fontId="1" type="noConversion"/>
  </si>
  <si>
    <t>20110812, S, 600978, 100, 6.55</t>
    <phoneticPr fontId="1" type="noConversion"/>
  </si>
  <si>
    <t>sell</t>
    <phoneticPr fontId="1" type="noConversion"/>
  </si>
  <si>
    <t>完</t>
    <phoneticPr fontId="1" type="noConversion"/>
  </si>
  <si>
    <t>20111103, B, 600978, 200,5.05</t>
    <phoneticPr fontId="1" type="noConversion"/>
  </si>
  <si>
    <t>阳泉煤业</t>
    <phoneticPr fontId="1" type="noConversion"/>
  </si>
  <si>
    <t>冀中能源</t>
    <phoneticPr fontId="1" type="noConversion"/>
  </si>
  <si>
    <t>中国石化</t>
    <phoneticPr fontId="1" type="noConversion"/>
  </si>
  <si>
    <t>歌华有线</t>
    <phoneticPr fontId="1" type="noConversion"/>
  </si>
  <si>
    <t>金地集团</t>
    <phoneticPr fontId="1" type="noConversion"/>
  </si>
  <si>
    <t>招商地产</t>
    <phoneticPr fontId="1" type="noConversion"/>
  </si>
  <si>
    <t>福星股份</t>
    <phoneticPr fontId="1" type="noConversion"/>
  </si>
  <si>
    <t>中材国际</t>
    <phoneticPr fontId="1" type="noConversion"/>
  </si>
  <si>
    <t>福建高速</t>
    <phoneticPr fontId="1" type="noConversion"/>
  </si>
  <si>
    <t>南方航空</t>
    <phoneticPr fontId="1" type="noConversion"/>
  </si>
  <si>
    <t>招商银行</t>
    <phoneticPr fontId="1" type="noConversion"/>
  </si>
  <si>
    <t>浦发银行</t>
    <phoneticPr fontId="1" type="noConversion"/>
  </si>
  <si>
    <t>民生银行</t>
    <phoneticPr fontId="1" type="noConversion"/>
  </si>
  <si>
    <t>北京银行</t>
    <phoneticPr fontId="1" type="noConversion"/>
  </si>
  <si>
    <t>交通银行</t>
    <phoneticPr fontId="1" type="noConversion"/>
  </si>
  <si>
    <t>深发展Ａ</t>
    <phoneticPr fontId="1" type="noConversion"/>
  </si>
  <si>
    <t>新农开发</t>
    <phoneticPr fontId="1" type="noConversion"/>
  </si>
  <si>
    <t>东软集团</t>
    <phoneticPr fontId="1" type="noConversion"/>
  </si>
  <si>
    <t>中兴通讯</t>
    <phoneticPr fontId="1" type="noConversion"/>
  </si>
  <si>
    <t>青岛海尔</t>
    <phoneticPr fontId="1" type="noConversion"/>
  </si>
  <si>
    <t>东方电气</t>
    <phoneticPr fontId="1" type="noConversion"/>
  </si>
  <si>
    <t>美的电器</t>
    <phoneticPr fontId="1" type="noConversion"/>
  </si>
  <si>
    <t>大洋电机</t>
    <phoneticPr fontId="1" type="noConversion"/>
  </si>
  <si>
    <t>黄河旋风</t>
    <phoneticPr fontId="1" type="noConversion"/>
  </si>
  <si>
    <t>广钢股份</t>
    <phoneticPr fontId="1" type="noConversion"/>
  </si>
  <si>
    <t>鞍钢股份</t>
    <phoneticPr fontId="1" type="noConversion"/>
  </si>
  <si>
    <t>天茂集团</t>
    <phoneticPr fontId="1" type="noConversion"/>
  </si>
  <si>
    <t>红 宝 丽</t>
    <phoneticPr fontId="1" type="noConversion"/>
  </si>
  <si>
    <t>潍柴动力</t>
    <phoneticPr fontId="1" type="noConversion"/>
  </si>
  <si>
    <t>长安汽车</t>
    <phoneticPr fontId="1" type="noConversion"/>
  </si>
  <si>
    <t>江淮汽车</t>
    <phoneticPr fontId="1" type="noConversion"/>
  </si>
  <si>
    <t>海螺水泥</t>
    <phoneticPr fontId="1" type="noConversion"/>
  </si>
  <si>
    <t>恒瑞医药</t>
    <phoneticPr fontId="1" type="noConversion"/>
  </si>
  <si>
    <t>焦作万方</t>
    <phoneticPr fontId="1" type="noConversion"/>
  </si>
  <si>
    <t>中联重科</t>
    <phoneticPr fontId="1" type="noConversion"/>
  </si>
  <si>
    <t>山推股份</t>
    <phoneticPr fontId="1" type="noConversion"/>
  </si>
  <si>
    <t>利尔化学</t>
    <phoneticPr fontId="1" type="noConversion"/>
  </si>
  <si>
    <t>铜峰电子</t>
    <phoneticPr fontId="1" type="noConversion"/>
  </si>
  <si>
    <t>春晖股份</t>
    <phoneticPr fontId="1" type="noConversion"/>
  </si>
  <si>
    <t xml:space="preserve">      </t>
    <phoneticPr fontId="1" type="noConversion"/>
  </si>
  <si>
    <t>中海集运</t>
    <phoneticPr fontId="1" type="noConversion"/>
  </si>
  <si>
    <t>楚天高速</t>
    <phoneticPr fontId="1" type="noConversion"/>
  </si>
  <si>
    <t>晨鸣纸业</t>
    <phoneticPr fontId="1" type="noConversion"/>
  </si>
  <si>
    <t>宝钛股份</t>
    <phoneticPr fontId="1" type="noConversion"/>
  </si>
  <si>
    <t>大有能源</t>
    <phoneticPr fontId="1" type="noConversion"/>
  </si>
  <si>
    <t>京东方Ａ</t>
    <phoneticPr fontId="1" type="noConversion"/>
  </si>
  <si>
    <t>东方航空</t>
    <phoneticPr fontId="1" type="noConversion"/>
  </si>
  <si>
    <t>复星医药</t>
    <phoneticPr fontId="1" type="noConversion"/>
  </si>
  <si>
    <t>天富热电</t>
    <phoneticPr fontId="1" type="noConversion"/>
  </si>
  <si>
    <t>大众公用</t>
    <phoneticPr fontId="1" type="noConversion"/>
  </si>
  <si>
    <t>宜华木业</t>
    <phoneticPr fontId="1" type="noConversion"/>
  </si>
  <si>
    <t>中国一重</t>
    <phoneticPr fontId="1" type="noConversion"/>
  </si>
  <si>
    <t>凯乐科技</t>
    <phoneticPr fontId="1" type="noConversion"/>
  </si>
</sst>
</file>

<file path=xl/styles.xml><?xml version="1.0" encoding="utf-8"?>
<styleSheet xmlns="http://schemas.openxmlformats.org/spreadsheetml/2006/main">
  <fonts count="17">
    <font>
      <sz val="9"/>
      <color theme="1"/>
      <name val="Arial"/>
      <family val="2"/>
      <charset val="134"/>
    </font>
    <font>
      <sz val="9"/>
      <name val="宋体"/>
      <family val="2"/>
      <charset val="134"/>
      <scheme val="minor"/>
    </font>
    <font>
      <b/>
      <sz val="10"/>
      <color rgb="FF000000"/>
      <name val="宋体"/>
      <family val="3"/>
      <charset val="134"/>
    </font>
    <font>
      <sz val="7"/>
      <color rgb="FF000000"/>
      <name val="Arial"/>
      <family val="2"/>
    </font>
    <font>
      <sz val="9"/>
      <name val="Arial"/>
      <family val="2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16"/>
      <name val="宋体"/>
      <family val="3"/>
      <charset val="134"/>
    </font>
    <font>
      <sz val="16"/>
      <color rgb="FFFF0000"/>
      <name val="宋体"/>
      <family val="3"/>
      <charset val="134"/>
    </font>
    <font>
      <sz val="9"/>
      <color rgb="FFFF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8" fillId="4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0" fillId="0" borderId="0" xfId="0" applyNumberFormat="1" applyFont="1" applyFill="1" applyBorder="1" applyAlignment="1">
      <alignment vertical="center" shrinkToFit="1"/>
    </xf>
    <xf numFmtId="0" fontId="12" fillId="0" borderId="0" xfId="0" applyNumberFormat="1" applyFont="1" applyFill="1" applyBorder="1" applyAlignment="1">
      <alignment vertical="center" wrapText="1"/>
    </xf>
    <xf numFmtId="0" fontId="10" fillId="3" borderId="0" xfId="0" applyNumberFormat="1" applyFont="1" applyFill="1" applyBorder="1" applyAlignment="1">
      <alignment vertical="center" shrinkToFit="1"/>
    </xf>
    <xf numFmtId="10" fontId="10" fillId="3" borderId="0" xfId="0" applyNumberFormat="1" applyFont="1" applyFill="1" applyBorder="1" applyAlignment="1">
      <alignment vertical="center" shrinkToFit="1"/>
    </xf>
    <xf numFmtId="0" fontId="10" fillId="2" borderId="0" xfId="0" applyNumberFormat="1" applyFont="1" applyFill="1" applyBorder="1" applyAlignment="1">
      <alignment vertical="center" shrinkToFit="1"/>
    </xf>
    <xf numFmtId="10" fontId="10" fillId="2" borderId="0" xfId="0" applyNumberFormat="1" applyFont="1" applyFill="1" applyBorder="1" applyAlignment="1">
      <alignment vertical="center" shrinkToFit="1"/>
    </xf>
    <xf numFmtId="0" fontId="11" fillId="0" borderId="0" xfId="0" applyNumberFormat="1" applyFont="1" applyFill="1" applyBorder="1" applyAlignment="1">
      <alignment horizontal="center" vertical="center" wrapText="1"/>
    </xf>
    <xf numFmtId="9" fontId="10" fillId="2" borderId="0" xfId="0" applyNumberFormat="1" applyFont="1" applyFill="1" applyBorder="1" applyAlignment="1">
      <alignment vertical="center" shrinkToFit="1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10" fontId="10" fillId="0" borderId="0" xfId="0" applyNumberFormat="1" applyFont="1" applyFill="1" applyBorder="1" applyAlignment="1">
      <alignment vertical="center" shrinkToFit="1"/>
    </xf>
    <xf numFmtId="10" fontId="11" fillId="0" borderId="0" xfId="0" applyNumberFormat="1" applyFont="1" applyFill="1" applyBorder="1" applyAlignment="1">
      <alignment horizontal="center" vertical="center" wrapText="1"/>
    </xf>
    <xf numFmtId="0" fontId="14" fillId="0" borderId="0" xfId="0" applyNumberFormat="1" applyFont="1" applyFill="1" applyBorder="1" applyAlignment="1">
      <alignment vertical="center" shrinkToFit="1"/>
    </xf>
    <xf numFmtId="0" fontId="14" fillId="0" borderId="0" xfId="0" applyNumberFormat="1" applyFont="1" applyFill="1" applyBorder="1" applyAlignment="1">
      <alignment vertical="center" wrapText="1"/>
    </xf>
    <xf numFmtId="0" fontId="13" fillId="5" borderId="0" xfId="0" applyNumberFormat="1" applyFont="1" applyFill="1" applyBorder="1" applyAlignment="1">
      <alignment vertical="center" shrinkToFit="1"/>
    </xf>
    <xf numFmtId="0" fontId="10" fillId="5" borderId="0" xfId="0" applyNumberFormat="1" applyFont="1" applyFill="1" applyBorder="1" applyAlignment="1">
      <alignment vertical="center" shrinkToFit="1"/>
    </xf>
    <xf numFmtId="0" fontId="15" fillId="0" borderId="0" xfId="0" applyNumberFormat="1" applyFont="1" applyFill="1" applyBorder="1" applyAlignment="1">
      <alignment vertical="center" shrinkToFit="1"/>
    </xf>
    <xf numFmtId="0" fontId="16" fillId="0" borderId="0" xfId="0" applyNumberFormat="1" applyFont="1" applyFill="1" applyBorder="1" applyAlignment="1">
      <alignment vertical="center" shrinkToFit="1"/>
    </xf>
    <xf numFmtId="0" fontId="13" fillId="3" borderId="0" xfId="0" applyNumberFormat="1" applyFont="1" applyFill="1" applyBorder="1" applyAlignment="1">
      <alignment vertical="center" shrinkToFit="1"/>
    </xf>
  </cellXfs>
  <cellStyles count="1">
    <cellStyle name="Normal" xfId="0" builtinId="0"/>
  </cellStyles>
  <dxfs count="9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BFE7E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3"/>
  <sheetViews>
    <sheetView showGridLines="0" defaultGridColor="0" colorId="55" workbookViewId="0">
      <selection activeCell="B6" sqref="B6"/>
    </sheetView>
  </sheetViews>
  <sheetFormatPr defaultColWidth="0" defaultRowHeight="12"/>
  <cols>
    <col min="1" max="1" width="8.7109375" style="3" customWidth="1"/>
    <col min="2" max="2" width="160.7109375" style="3" customWidth="1"/>
    <col min="3" max="16384" width="8.7109375" style="2" hidden="1"/>
  </cols>
  <sheetData>
    <row r="1" spans="1:2">
      <c r="A1" s="1" t="s">
        <v>52</v>
      </c>
      <c r="B1" s="1" t="s">
        <v>53</v>
      </c>
    </row>
    <row r="2" spans="1:2" ht="48">
      <c r="A2" s="3" t="s">
        <v>54</v>
      </c>
      <c r="B2" s="3" t="s">
        <v>55</v>
      </c>
    </row>
    <row r="3" spans="1:2">
      <c r="A3" s="3" t="s">
        <v>56</v>
      </c>
      <c r="B3" s="3" t="s">
        <v>57</v>
      </c>
    </row>
    <row r="4" spans="1:2">
      <c r="A4" s="3" t="s">
        <v>58</v>
      </c>
      <c r="B4" s="3" t="s">
        <v>110</v>
      </c>
    </row>
    <row r="5" spans="1:2">
      <c r="A5" s="3" t="s">
        <v>50</v>
      </c>
    </row>
    <row r="6" spans="1:2">
      <c r="A6" s="3" t="s">
        <v>59</v>
      </c>
    </row>
    <row r="7" spans="1:2">
      <c r="A7" s="3" t="s">
        <v>60</v>
      </c>
    </row>
    <row r="8" spans="1:2">
      <c r="A8" s="3" t="s">
        <v>61</v>
      </c>
    </row>
    <row r="9" spans="1:2">
      <c r="A9" s="3" t="s">
        <v>51</v>
      </c>
    </row>
    <row r="10" spans="1:2">
      <c r="A10" s="3" t="s">
        <v>62</v>
      </c>
    </row>
    <row r="11" spans="1:2">
      <c r="A11" s="3" t="s">
        <v>63</v>
      </c>
    </row>
    <row r="12" spans="1:2">
      <c r="A12" s="3" t="s">
        <v>64</v>
      </c>
    </row>
    <row r="13" spans="1:2">
      <c r="A13" s="3" t="s">
        <v>65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main"/>
  <dimension ref="A1:W84"/>
  <sheetViews>
    <sheetView showGridLines="0" tabSelected="1" defaultGridColor="0" colorId="23" zoomScale="85" zoomScaleNormal="85" workbookViewId="0">
      <pane ySplit="2" topLeftCell="A59" activePane="bottomLeft" state="frozen"/>
      <selection pane="bottomLeft" activeCell="R71" sqref="R71"/>
    </sheetView>
  </sheetViews>
  <sheetFormatPr defaultColWidth="6.7109375" defaultRowHeight="20.25"/>
  <cols>
    <col min="1" max="2" width="8.7109375" style="4" customWidth="1"/>
    <col min="3" max="7" width="6.7109375" style="4" customWidth="1"/>
    <col min="8" max="9" width="6.7109375" style="4" hidden="1" customWidth="1"/>
    <col min="10" max="11" width="8.7109375" style="4" hidden="1" customWidth="1"/>
    <col min="12" max="12" width="2.7109375" style="4" customWidth="1"/>
    <col min="13" max="13" width="6.7109375" style="14" customWidth="1"/>
    <col min="14" max="14" width="6.7109375" style="4" customWidth="1"/>
    <col min="15" max="15" width="6.7109375" style="4" hidden="1" customWidth="1"/>
    <col min="16" max="16" width="28.7109375" style="4" hidden="1" customWidth="1"/>
    <col min="17" max="18" width="6.7109375" style="4" customWidth="1"/>
    <col min="19" max="19" width="29.42578125" style="4" customWidth="1"/>
    <col min="20" max="20" width="10.5703125" style="16" customWidth="1"/>
    <col min="21" max="16384" width="6.7109375" style="4"/>
  </cols>
  <sheetData>
    <row r="1" spans="1:20" ht="36" customHeight="1"/>
    <row r="2" spans="1:20" s="5" customFormat="1" ht="24">
      <c r="A2" s="10" t="s">
        <v>112</v>
      </c>
      <c r="B2" s="10" t="s">
        <v>0</v>
      </c>
      <c r="C2" s="10" t="s">
        <v>69</v>
      </c>
      <c r="D2" s="10" t="s">
        <v>70</v>
      </c>
      <c r="E2" s="10" t="s">
        <v>71</v>
      </c>
      <c r="F2" s="10" t="s">
        <v>72</v>
      </c>
      <c r="G2" s="10" t="s">
        <v>73</v>
      </c>
      <c r="H2" s="10" t="s">
        <v>67</v>
      </c>
      <c r="I2" s="10" t="s">
        <v>68</v>
      </c>
      <c r="J2" s="10" t="s">
        <v>48</v>
      </c>
      <c r="K2" s="10" t="s">
        <v>49</v>
      </c>
      <c r="L2" s="10"/>
      <c r="M2" s="15" t="s">
        <v>66</v>
      </c>
      <c r="N2" s="10" t="s">
        <v>74</v>
      </c>
      <c r="O2" s="10" t="s">
        <v>113</v>
      </c>
      <c r="P2" s="10" t="s">
        <v>114</v>
      </c>
      <c r="Q2" s="10" t="s">
        <v>115</v>
      </c>
      <c r="R2" s="10" t="s">
        <v>121</v>
      </c>
      <c r="S2" s="10" t="s">
        <v>116</v>
      </c>
      <c r="T2" s="17"/>
    </row>
    <row r="3" spans="1:20" hidden="1">
      <c r="A3" s="6" t="s">
        <v>45</v>
      </c>
      <c r="B3" s="6" t="s">
        <v>165</v>
      </c>
      <c r="C3" s="6">
        <v>16.899999999999999</v>
      </c>
      <c r="D3" s="6">
        <v>16.7</v>
      </c>
      <c r="E3" s="18">
        <v>16.39</v>
      </c>
      <c r="F3" s="6">
        <v>16.97</v>
      </c>
      <c r="G3" s="6">
        <v>16.36</v>
      </c>
      <c r="H3" s="6">
        <v>16.39</v>
      </c>
      <c r="I3" s="6">
        <v>16.440000000000001</v>
      </c>
      <c r="J3" s="6">
        <v>84342.9</v>
      </c>
      <c r="K3" s="6">
        <v>14080.7</v>
      </c>
      <c r="M3" s="7">
        <v>-1.8599999999999998E-2</v>
      </c>
      <c r="N3" s="7">
        <v>3.73E-2</v>
      </c>
      <c r="O3" s="6" t="s">
        <v>11</v>
      </c>
      <c r="P3" s="6" t="s">
        <v>92</v>
      </c>
      <c r="Q3" s="6"/>
      <c r="R3" s="6"/>
      <c r="S3" s="6"/>
    </row>
    <row r="4" spans="1:20" hidden="1">
      <c r="A4" s="8" t="s">
        <v>16</v>
      </c>
      <c r="B4" s="8" t="s">
        <v>166</v>
      </c>
      <c r="C4" s="8">
        <v>16.920000000000002</v>
      </c>
      <c r="D4" s="8">
        <v>16.93</v>
      </c>
      <c r="E4" s="18">
        <v>16.440000000000001</v>
      </c>
      <c r="F4" s="8">
        <v>17.07</v>
      </c>
      <c r="G4" s="8">
        <v>16.37</v>
      </c>
      <c r="H4" s="8">
        <v>16.43</v>
      </c>
      <c r="I4" s="8">
        <v>16.440000000000001</v>
      </c>
      <c r="J4" s="8">
        <v>71257.3</v>
      </c>
      <c r="K4" s="8">
        <v>11944.1</v>
      </c>
      <c r="M4" s="9">
        <v>-2.8899999999999999E-2</v>
      </c>
      <c r="N4" s="9">
        <v>4.2799999999999998E-2</v>
      </c>
      <c r="O4" s="8" t="s">
        <v>4</v>
      </c>
      <c r="P4" s="8" t="s">
        <v>91</v>
      </c>
      <c r="Q4" s="8"/>
      <c r="R4" s="8"/>
      <c r="S4" s="8"/>
    </row>
    <row r="5" spans="1:20" hidden="1">
      <c r="A5" s="6" t="s">
        <v>40</v>
      </c>
      <c r="B5" s="6" t="s">
        <v>167</v>
      </c>
      <c r="C5" s="6">
        <v>7.14</v>
      </c>
      <c r="D5" s="6">
        <v>7.14</v>
      </c>
      <c r="E5" s="18">
        <v>7.09</v>
      </c>
      <c r="F5" s="6">
        <v>7.14</v>
      </c>
      <c r="G5" s="6">
        <v>6.98</v>
      </c>
      <c r="H5" s="6">
        <v>7.08</v>
      </c>
      <c r="I5" s="6">
        <v>7.09</v>
      </c>
      <c r="J5" s="6">
        <v>241923.5</v>
      </c>
      <c r="K5" s="6">
        <v>17045.099999999999</v>
      </c>
      <c r="M5" s="7">
        <v>-7.0000000000000001E-3</v>
      </c>
      <c r="N5" s="7">
        <v>2.29E-2</v>
      </c>
      <c r="O5" s="6" t="s">
        <v>8</v>
      </c>
      <c r="P5" s="6" t="s">
        <v>93</v>
      </c>
      <c r="Q5" s="6"/>
      <c r="R5" s="6"/>
      <c r="S5" s="6"/>
    </row>
    <row r="6" spans="1:20" hidden="1">
      <c r="A6" s="8" t="s">
        <v>28</v>
      </c>
      <c r="B6" s="8" t="s">
        <v>168</v>
      </c>
      <c r="C6" s="8">
        <v>8.9</v>
      </c>
      <c r="D6" s="8">
        <v>9.01</v>
      </c>
      <c r="E6" s="18">
        <v>8.77</v>
      </c>
      <c r="F6" s="8">
        <v>9.08</v>
      </c>
      <c r="G6" s="8">
        <v>8.73</v>
      </c>
      <c r="H6" s="8">
        <v>8.77</v>
      </c>
      <c r="I6" s="8">
        <v>8.7799999999999994</v>
      </c>
      <c r="J6" s="8">
        <v>38893.4</v>
      </c>
      <c r="K6" s="8">
        <v>3465.5</v>
      </c>
      <c r="M6" s="9">
        <v>-2.6599999999999999E-2</v>
      </c>
      <c r="N6" s="9">
        <v>4.0099999999999997E-2</v>
      </c>
      <c r="O6" s="8" t="s">
        <v>8</v>
      </c>
      <c r="P6" s="8" t="s">
        <v>84</v>
      </c>
      <c r="Q6" s="8"/>
      <c r="R6" s="8"/>
      <c r="S6" s="8"/>
    </row>
    <row r="7" spans="1:20" hidden="1">
      <c r="A7" s="6" t="s">
        <v>24</v>
      </c>
      <c r="B7" s="6" t="s">
        <v>169</v>
      </c>
      <c r="C7" s="6">
        <v>4.49</v>
      </c>
      <c r="D7" s="6">
        <v>4.49</v>
      </c>
      <c r="E7" s="18">
        <v>4.42</v>
      </c>
      <c r="F7" s="6">
        <v>4.55</v>
      </c>
      <c r="G7" s="6">
        <v>4.41</v>
      </c>
      <c r="H7" s="6">
        <v>4.41</v>
      </c>
      <c r="I7" s="6">
        <v>4.42</v>
      </c>
      <c r="J7" s="6">
        <v>159652.9</v>
      </c>
      <c r="K7" s="6">
        <v>7135.8</v>
      </c>
      <c r="M7" s="7">
        <v>-1.5599999999999999E-2</v>
      </c>
      <c r="N7" s="7">
        <v>3.1699999999999999E-2</v>
      </c>
      <c r="O7" s="6" t="s">
        <v>9</v>
      </c>
      <c r="P7" s="6" t="s">
        <v>100</v>
      </c>
      <c r="Q7" s="6"/>
      <c r="R7" s="6"/>
      <c r="S7" s="6"/>
    </row>
    <row r="8" spans="1:20" hidden="1">
      <c r="A8" s="8" t="s">
        <v>25</v>
      </c>
      <c r="B8" s="8" t="s">
        <v>170</v>
      </c>
      <c r="C8" s="8">
        <v>17.18</v>
      </c>
      <c r="D8" s="8">
        <v>17.16</v>
      </c>
      <c r="E8" s="18">
        <v>17</v>
      </c>
      <c r="F8" s="8">
        <v>17.3</v>
      </c>
      <c r="G8" s="8">
        <v>17</v>
      </c>
      <c r="H8" s="8">
        <v>17</v>
      </c>
      <c r="I8" s="8">
        <v>17.010000000000002</v>
      </c>
      <c r="J8" s="8">
        <v>17478.900000000001</v>
      </c>
      <c r="K8" s="8">
        <v>3004.1</v>
      </c>
      <c r="M8" s="9">
        <v>-9.2999999999999992E-3</v>
      </c>
      <c r="N8" s="9">
        <v>1.7600000000000001E-2</v>
      </c>
      <c r="O8" s="8" t="s">
        <v>9</v>
      </c>
      <c r="P8" s="8" t="s">
        <v>100</v>
      </c>
      <c r="Q8" s="8"/>
      <c r="R8" s="8"/>
      <c r="S8" s="8"/>
    </row>
    <row r="9" spans="1:20" hidden="1">
      <c r="A9" s="6" t="s">
        <v>15</v>
      </c>
      <c r="B9" s="6" t="s">
        <v>171</v>
      </c>
      <c r="C9" s="6">
        <v>7.1</v>
      </c>
      <c r="D9" s="6">
        <v>7.08</v>
      </c>
      <c r="E9" s="18">
        <v>7.02</v>
      </c>
      <c r="F9" s="6">
        <v>7.2</v>
      </c>
      <c r="G9" s="6">
        <v>7.02</v>
      </c>
      <c r="H9" s="6">
        <v>7.02</v>
      </c>
      <c r="I9" s="6">
        <v>7.03</v>
      </c>
      <c r="J9" s="6">
        <v>54981.1</v>
      </c>
      <c r="K9" s="6">
        <v>3912.3</v>
      </c>
      <c r="M9" s="7">
        <v>-8.5000000000000006E-3</v>
      </c>
      <c r="N9" s="7">
        <v>2.5600000000000001E-2</v>
      </c>
      <c r="O9" s="6" t="s">
        <v>3</v>
      </c>
      <c r="P9" s="6" t="s">
        <v>100</v>
      </c>
      <c r="Q9" s="6"/>
      <c r="R9" s="6"/>
      <c r="S9" s="6"/>
    </row>
    <row r="10" spans="1:20" hidden="1">
      <c r="A10" s="8" t="s">
        <v>75</v>
      </c>
      <c r="B10" s="8" t="s">
        <v>172</v>
      </c>
      <c r="C10" s="8">
        <v>17.350000000000001</v>
      </c>
      <c r="D10" s="8">
        <v>17.46</v>
      </c>
      <c r="E10" s="18">
        <v>17.010000000000002</v>
      </c>
      <c r="F10" s="8">
        <v>17.55</v>
      </c>
      <c r="G10" s="8">
        <v>16.7</v>
      </c>
      <c r="H10" s="8">
        <v>17.010000000000002</v>
      </c>
      <c r="I10" s="8">
        <v>17.02</v>
      </c>
      <c r="J10" s="8">
        <v>28694.5</v>
      </c>
      <c r="K10" s="8">
        <v>4888</v>
      </c>
      <c r="M10" s="9">
        <v>-2.58E-2</v>
      </c>
      <c r="N10" s="9">
        <v>5.0900000000000001E-2</v>
      </c>
      <c r="O10" s="8" t="s">
        <v>76</v>
      </c>
      <c r="P10" s="8" t="s">
        <v>85</v>
      </c>
      <c r="Q10" s="8">
        <v>17.71</v>
      </c>
      <c r="R10" s="9">
        <v>-4.3900000000000002E-2</v>
      </c>
      <c r="S10" s="8" t="s">
        <v>103</v>
      </c>
    </row>
    <row r="11" spans="1:20" hidden="1">
      <c r="A11" s="6" t="s">
        <v>43</v>
      </c>
      <c r="B11" s="6" t="s">
        <v>173</v>
      </c>
      <c r="C11" s="6">
        <v>2.4700000000000002</v>
      </c>
      <c r="D11" s="6">
        <v>2.48</v>
      </c>
      <c r="E11" s="18">
        <v>2.4500000000000002</v>
      </c>
      <c r="F11" s="6">
        <v>2.4900000000000002</v>
      </c>
      <c r="G11" s="6">
        <v>2.44</v>
      </c>
      <c r="H11" s="6">
        <v>2.44</v>
      </c>
      <c r="I11" s="6">
        <v>2.4500000000000002</v>
      </c>
      <c r="J11" s="6">
        <v>30232</v>
      </c>
      <c r="K11" s="6">
        <v>746</v>
      </c>
      <c r="M11" s="7">
        <v>-1.21E-2</v>
      </c>
      <c r="N11" s="7">
        <v>2.0500000000000001E-2</v>
      </c>
      <c r="O11" s="6" t="s">
        <v>47</v>
      </c>
      <c r="P11" s="6" t="s">
        <v>90</v>
      </c>
      <c r="Q11" s="6"/>
      <c r="R11" s="6"/>
      <c r="S11" s="6"/>
    </row>
    <row r="12" spans="1:20" hidden="1">
      <c r="A12" s="8" t="s">
        <v>41</v>
      </c>
      <c r="B12" s="8" t="s">
        <v>174</v>
      </c>
      <c r="C12" s="8">
        <v>4.82</v>
      </c>
      <c r="D12" s="8">
        <v>4.8499999999999996</v>
      </c>
      <c r="E12" s="18">
        <v>4.75</v>
      </c>
      <c r="F12" s="8">
        <v>4.8499999999999996</v>
      </c>
      <c r="G12" s="8">
        <v>4.75</v>
      </c>
      <c r="H12" s="8">
        <v>4.75</v>
      </c>
      <c r="I12" s="8">
        <v>4.76</v>
      </c>
      <c r="J12" s="8">
        <v>175959.8</v>
      </c>
      <c r="K12" s="8">
        <v>8462.6</v>
      </c>
      <c r="M12" s="9">
        <v>-2.06E-2</v>
      </c>
      <c r="N12" s="9">
        <v>2.1100000000000001E-2</v>
      </c>
      <c r="O12" s="8" t="s">
        <v>1</v>
      </c>
      <c r="P12" s="8" t="s">
        <v>89</v>
      </c>
      <c r="Q12" s="8"/>
      <c r="R12" s="8"/>
      <c r="S12" s="8"/>
    </row>
    <row r="13" spans="1:20" hidden="1">
      <c r="A13" s="6" t="s">
        <v>23</v>
      </c>
      <c r="B13" s="6" t="s">
        <v>175</v>
      </c>
      <c r="C13" s="6">
        <v>11.65</v>
      </c>
      <c r="D13" s="6">
        <v>11.66</v>
      </c>
      <c r="E13" s="18">
        <v>11.67</v>
      </c>
      <c r="F13" s="6">
        <v>11.83</v>
      </c>
      <c r="G13" s="6">
        <v>11.55</v>
      </c>
      <c r="H13" s="6">
        <v>11.66</v>
      </c>
      <c r="I13" s="6">
        <v>11.67</v>
      </c>
      <c r="J13" s="6">
        <v>279324.2</v>
      </c>
      <c r="K13" s="6">
        <v>32739.1</v>
      </c>
      <c r="M13" s="7">
        <v>8.9999999999999998E-4</v>
      </c>
      <c r="N13" s="7">
        <v>2.4199999999999999E-2</v>
      </c>
      <c r="O13" s="6" t="s">
        <v>9</v>
      </c>
      <c r="P13" s="6" t="s">
        <v>97</v>
      </c>
      <c r="Q13" s="6"/>
      <c r="R13" s="6"/>
      <c r="S13" s="6"/>
    </row>
    <row r="14" spans="1:20" hidden="1">
      <c r="A14" s="8" t="s">
        <v>108</v>
      </c>
      <c r="B14" s="8" t="s">
        <v>176</v>
      </c>
      <c r="C14" s="8">
        <v>8.57</v>
      </c>
      <c r="D14" s="8">
        <v>8.58</v>
      </c>
      <c r="E14" s="18">
        <v>8.59</v>
      </c>
      <c r="F14" s="8">
        <v>8.65</v>
      </c>
      <c r="G14" s="8">
        <v>8.5399999999999991</v>
      </c>
      <c r="H14" s="8">
        <v>8.59</v>
      </c>
      <c r="I14" s="8">
        <v>8.6</v>
      </c>
      <c r="J14" s="8">
        <v>252424.3</v>
      </c>
      <c r="K14" s="8">
        <v>21721.9</v>
      </c>
      <c r="M14" s="9">
        <v>1.1999999999999999E-3</v>
      </c>
      <c r="N14" s="9">
        <v>1.29E-2</v>
      </c>
      <c r="O14" s="8" t="s">
        <v>8</v>
      </c>
      <c r="P14" s="8" t="s">
        <v>109</v>
      </c>
      <c r="Q14" s="8"/>
      <c r="R14" s="8"/>
      <c r="S14" s="8"/>
    </row>
    <row r="15" spans="1:20" hidden="1">
      <c r="A15" s="6" t="s">
        <v>42</v>
      </c>
      <c r="B15" s="6" t="s">
        <v>177</v>
      </c>
      <c r="C15" s="6">
        <v>5.91</v>
      </c>
      <c r="D15" s="6">
        <v>5.93</v>
      </c>
      <c r="E15" s="18">
        <v>5.89</v>
      </c>
      <c r="F15" s="6">
        <v>5.96</v>
      </c>
      <c r="G15" s="6">
        <v>5.87</v>
      </c>
      <c r="H15" s="6">
        <v>5.89</v>
      </c>
      <c r="I15" s="6">
        <v>5.9</v>
      </c>
      <c r="J15" s="6">
        <v>839457</v>
      </c>
      <c r="K15" s="6">
        <v>49547.6</v>
      </c>
      <c r="M15" s="7">
        <v>-6.7000000000000002E-3</v>
      </c>
      <c r="N15" s="7">
        <v>1.5299999999999999E-2</v>
      </c>
      <c r="O15" s="6" t="s">
        <v>8</v>
      </c>
      <c r="P15" s="6" t="s">
        <v>105</v>
      </c>
      <c r="Q15" s="6"/>
      <c r="R15" s="6"/>
      <c r="S15" s="6"/>
    </row>
    <row r="16" spans="1:20" hidden="1">
      <c r="A16" s="8" t="s">
        <v>22</v>
      </c>
      <c r="B16" s="8" t="s">
        <v>178</v>
      </c>
      <c r="C16" s="8">
        <v>9.4600000000000009</v>
      </c>
      <c r="D16" s="8">
        <v>9.4700000000000006</v>
      </c>
      <c r="E16" s="18">
        <v>9.4600000000000009</v>
      </c>
      <c r="F16" s="8">
        <v>9.5399999999999991</v>
      </c>
      <c r="G16" s="8">
        <v>9.44</v>
      </c>
      <c r="H16" s="8">
        <v>9.4600000000000009</v>
      </c>
      <c r="I16" s="8">
        <v>9.4700000000000006</v>
      </c>
      <c r="J16" s="8">
        <v>94855.6</v>
      </c>
      <c r="K16" s="8">
        <v>8990.9</v>
      </c>
      <c r="M16" s="9">
        <v>-1.1000000000000001E-3</v>
      </c>
      <c r="N16" s="9">
        <v>1.06E-2</v>
      </c>
      <c r="O16" s="8" t="s">
        <v>8</v>
      </c>
      <c r="P16" s="8" t="s">
        <v>96</v>
      </c>
      <c r="Q16" s="8"/>
      <c r="R16" s="8"/>
      <c r="S16" s="8"/>
    </row>
    <row r="17" spans="1:19" hidden="1">
      <c r="A17" s="6" t="s">
        <v>104</v>
      </c>
      <c r="B17" s="6" t="s">
        <v>179</v>
      </c>
      <c r="C17" s="6">
        <v>4.5999999999999996</v>
      </c>
      <c r="D17" s="6">
        <v>4.6100000000000003</v>
      </c>
      <c r="E17" s="22">
        <v>4.5999999999999996</v>
      </c>
      <c r="F17" s="6">
        <v>4.63</v>
      </c>
      <c r="G17" s="6">
        <v>4.5999999999999996</v>
      </c>
      <c r="H17" s="6">
        <v>4.5999999999999996</v>
      </c>
      <c r="I17" s="6">
        <v>4.6100000000000003</v>
      </c>
      <c r="J17" s="6">
        <v>218863</v>
      </c>
      <c r="K17" s="6">
        <v>10096.6</v>
      </c>
      <c r="M17" s="7">
        <v>-2.2000000000000001E-3</v>
      </c>
      <c r="N17" s="7">
        <v>6.4999999999999997E-3</v>
      </c>
      <c r="O17" s="6" t="s">
        <v>119</v>
      </c>
      <c r="P17" s="6" t="s">
        <v>106</v>
      </c>
      <c r="Q17" s="6"/>
      <c r="R17" s="7"/>
      <c r="S17" s="6"/>
    </row>
    <row r="18" spans="1:19" hidden="1">
      <c r="A18" s="8" t="s">
        <v>107</v>
      </c>
      <c r="B18" s="8" t="s">
        <v>180</v>
      </c>
      <c r="C18" s="8">
        <v>15.68</v>
      </c>
      <c r="D18" s="8">
        <v>15.68</v>
      </c>
      <c r="E18" s="18">
        <v>15.55</v>
      </c>
      <c r="F18" s="8">
        <v>15.76</v>
      </c>
      <c r="G18" s="8">
        <v>15.54</v>
      </c>
      <c r="H18" s="8">
        <v>15.54</v>
      </c>
      <c r="I18" s="8">
        <v>15.55</v>
      </c>
      <c r="J18" s="8">
        <v>73555.8</v>
      </c>
      <c r="K18" s="8">
        <v>11514.2</v>
      </c>
      <c r="M18" s="9">
        <v>-8.3000000000000001E-3</v>
      </c>
      <c r="N18" s="9">
        <v>1.4200000000000001E-2</v>
      </c>
      <c r="O18" s="8" t="s">
        <v>8</v>
      </c>
      <c r="P18" s="8" t="s">
        <v>109</v>
      </c>
      <c r="Q18" s="8"/>
      <c r="R18" s="8"/>
      <c r="S18" s="8"/>
    </row>
    <row r="19" spans="1:19" hidden="1">
      <c r="A19" s="6" t="s">
        <v>27</v>
      </c>
      <c r="B19" s="6" t="s">
        <v>181</v>
      </c>
      <c r="C19" s="6">
        <v>7.88</v>
      </c>
      <c r="D19" s="6">
        <v>8.48</v>
      </c>
      <c r="E19" s="18">
        <v>7.79</v>
      </c>
      <c r="F19" s="6">
        <v>8.34</v>
      </c>
      <c r="G19" s="6">
        <v>7.63</v>
      </c>
      <c r="H19" s="6">
        <v>7.79</v>
      </c>
      <c r="I19" s="6">
        <v>7.8</v>
      </c>
      <c r="J19" s="6">
        <v>48977.4</v>
      </c>
      <c r="K19" s="6">
        <v>3920</v>
      </c>
      <c r="M19" s="7">
        <v>-8.14E-2</v>
      </c>
      <c r="N19" s="7">
        <v>9.3100000000000002E-2</v>
      </c>
      <c r="O19" s="6" t="s">
        <v>10</v>
      </c>
      <c r="P19" s="6" t="s">
        <v>87</v>
      </c>
      <c r="Q19" s="6"/>
      <c r="R19" s="6"/>
      <c r="S19" s="6"/>
    </row>
    <row r="20" spans="1:19" hidden="1">
      <c r="A20" s="8" t="s">
        <v>37</v>
      </c>
      <c r="B20" s="8" t="s">
        <v>182</v>
      </c>
      <c r="C20" s="8">
        <v>9.19</v>
      </c>
      <c r="D20" s="8">
        <v>9.19</v>
      </c>
      <c r="E20" s="18">
        <v>9.02</v>
      </c>
      <c r="F20" s="8">
        <v>9.33</v>
      </c>
      <c r="G20" s="8">
        <v>9.01</v>
      </c>
      <c r="H20" s="8">
        <v>9.02</v>
      </c>
      <c r="I20" s="8">
        <v>9.0399999999999991</v>
      </c>
      <c r="J20" s="8">
        <v>19419.3</v>
      </c>
      <c r="K20" s="8">
        <v>1782.1</v>
      </c>
      <c r="M20" s="9">
        <v>-1.8499999999999999E-2</v>
      </c>
      <c r="N20" s="9">
        <v>3.5499999999999997E-2</v>
      </c>
      <c r="O20" s="8" t="s">
        <v>38</v>
      </c>
      <c r="P20" s="8" t="s">
        <v>95</v>
      </c>
      <c r="Q20" s="8"/>
      <c r="R20" s="8"/>
      <c r="S20" s="8"/>
    </row>
    <row r="21" spans="1:19" hidden="1">
      <c r="A21" s="6" t="s">
        <v>39</v>
      </c>
      <c r="B21" s="6" t="s">
        <v>183</v>
      </c>
      <c r="C21" s="6">
        <v>17.2</v>
      </c>
      <c r="D21" s="6">
        <v>17.29</v>
      </c>
      <c r="E21" s="18">
        <v>17.2</v>
      </c>
      <c r="F21" s="6">
        <v>17.7</v>
      </c>
      <c r="G21" s="6">
        <v>17.16</v>
      </c>
      <c r="H21" s="6">
        <v>17.2</v>
      </c>
      <c r="I21" s="6">
        <v>17.21</v>
      </c>
      <c r="J21" s="6">
        <v>62937.4</v>
      </c>
      <c r="K21" s="6">
        <v>10934.9</v>
      </c>
      <c r="M21" s="7">
        <v>-5.1999999999999998E-3</v>
      </c>
      <c r="N21" s="7">
        <v>3.15E-2</v>
      </c>
      <c r="O21" s="6" t="s">
        <v>9</v>
      </c>
      <c r="P21" s="6" t="s">
        <v>94</v>
      </c>
      <c r="Q21" s="6"/>
      <c r="R21" s="6"/>
      <c r="S21" s="6"/>
    </row>
    <row r="22" spans="1:19" hidden="1">
      <c r="A22" s="8" t="s">
        <v>26</v>
      </c>
      <c r="B22" s="8" t="s">
        <v>184</v>
      </c>
      <c r="C22" s="8">
        <v>8.26</v>
      </c>
      <c r="D22" s="8">
        <v>8.31</v>
      </c>
      <c r="E22" s="18">
        <v>8.16</v>
      </c>
      <c r="F22" s="8">
        <v>8.32</v>
      </c>
      <c r="G22" s="8">
        <v>8.15</v>
      </c>
      <c r="H22" s="8">
        <v>8.15</v>
      </c>
      <c r="I22" s="8">
        <v>8.16</v>
      </c>
      <c r="J22" s="8">
        <v>63894.7</v>
      </c>
      <c r="K22" s="8">
        <v>5243.4</v>
      </c>
      <c r="M22" s="9">
        <v>-1.8100000000000002E-2</v>
      </c>
      <c r="N22" s="9">
        <v>2.0899999999999998E-2</v>
      </c>
      <c r="O22" s="8" t="s">
        <v>2</v>
      </c>
      <c r="P22" s="8" t="s">
        <v>88</v>
      </c>
      <c r="Q22" s="8"/>
      <c r="R22" s="8"/>
      <c r="S22" s="8"/>
    </row>
    <row r="23" spans="1:19" hidden="1">
      <c r="A23" s="6" t="s">
        <v>35</v>
      </c>
      <c r="B23" s="6" t="s">
        <v>185</v>
      </c>
      <c r="C23" s="6">
        <v>22.5</v>
      </c>
      <c r="D23" s="6">
        <v>22.7</v>
      </c>
      <c r="E23" s="18">
        <v>22.27</v>
      </c>
      <c r="F23" s="6">
        <v>22.76</v>
      </c>
      <c r="G23" s="6">
        <v>22.13</v>
      </c>
      <c r="H23" s="6">
        <v>22.26</v>
      </c>
      <c r="I23" s="6">
        <v>22.27</v>
      </c>
      <c r="J23" s="6">
        <v>65958.8</v>
      </c>
      <c r="K23" s="6">
        <v>14822.4</v>
      </c>
      <c r="M23" s="7">
        <v>-1.89E-2</v>
      </c>
      <c r="N23" s="7">
        <v>2.8500000000000001E-2</v>
      </c>
      <c r="O23" s="6" t="s">
        <v>36</v>
      </c>
      <c r="P23" s="6" t="s">
        <v>81</v>
      </c>
      <c r="Q23" s="6"/>
      <c r="R23" s="6"/>
      <c r="S23" s="6"/>
    </row>
    <row r="24" spans="1:19" hidden="1">
      <c r="A24" s="8" t="s">
        <v>18</v>
      </c>
      <c r="B24" s="8" t="s">
        <v>186</v>
      </c>
      <c r="C24" s="8">
        <v>11.2</v>
      </c>
      <c r="D24" s="8">
        <v>11.18</v>
      </c>
      <c r="E24" s="18">
        <v>11.1</v>
      </c>
      <c r="F24" s="8">
        <v>11.24</v>
      </c>
      <c r="G24" s="8">
        <v>11</v>
      </c>
      <c r="H24" s="8">
        <v>11.08</v>
      </c>
      <c r="I24" s="8">
        <v>11.1</v>
      </c>
      <c r="J24" s="8">
        <v>78799.899999999994</v>
      </c>
      <c r="K24" s="8">
        <v>8785.4</v>
      </c>
      <c r="M24" s="9">
        <v>-7.1999999999999998E-3</v>
      </c>
      <c r="N24" s="9">
        <v>2.18E-2</v>
      </c>
      <c r="O24" s="8" t="s">
        <v>1</v>
      </c>
      <c r="P24" s="8" t="s">
        <v>88</v>
      </c>
      <c r="Q24" s="8"/>
      <c r="R24" s="8"/>
      <c r="S24" s="8"/>
    </row>
    <row r="25" spans="1:19" hidden="1">
      <c r="A25" s="6" t="s">
        <v>19</v>
      </c>
      <c r="B25" s="6" t="s">
        <v>187</v>
      </c>
      <c r="C25" s="6">
        <v>16.03</v>
      </c>
      <c r="D25" s="6">
        <v>15.98</v>
      </c>
      <c r="E25" s="18">
        <v>15.33</v>
      </c>
      <c r="F25" s="6">
        <v>16.03</v>
      </c>
      <c r="G25" s="6">
        <v>15.3</v>
      </c>
      <c r="H25" s="6">
        <v>15.32</v>
      </c>
      <c r="I25" s="6">
        <v>15.33</v>
      </c>
      <c r="J25" s="6">
        <v>7597.2</v>
      </c>
      <c r="K25" s="6">
        <v>1194</v>
      </c>
      <c r="M25" s="7">
        <v>-4.07E-2</v>
      </c>
      <c r="N25" s="7">
        <v>4.7699999999999999E-2</v>
      </c>
      <c r="O25" s="6" t="s">
        <v>1</v>
      </c>
      <c r="P25" s="6" t="s">
        <v>81</v>
      </c>
      <c r="Q25" s="6"/>
      <c r="R25" s="6"/>
      <c r="S25" s="6"/>
    </row>
    <row r="26" spans="1:19" hidden="1">
      <c r="A26" s="8" t="s">
        <v>111</v>
      </c>
      <c r="B26" s="8" t="s">
        <v>188</v>
      </c>
      <c r="C26" s="8">
        <v>11.16</v>
      </c>
      <c r="D26" s="8">
        <v>11.09</v>
      </c>
      <c r="E26" s="18">
        <v>10.58</v>
      </c>
      <c r="F26" s="8">
        <v>11.22</v>
      </c>
      <c r="G26" s="8">
        <v>10.55</v>
      </c>
      <c r="H26" s="8">
        <v>10.58</v>
      </c>
      <c r="I26" s="8">
        <v>10.59</v>
      </c>
      <c r="J26" s="8">
        <v>30091.599999999999</v>
      </c>
      <c r="K26" s="8">
        <v>3279.3</v>
      </c>
      <c r="M26" s="9">
        <v>-4.5999999999999999E-2</v>
      </c>
      <c r="N26" s="9">
        <v>6.3500000000000001E-2</v>
      </c>
      <c r="O26" s="8" t="s">
        <v>117</v>
      </c>
      <c r="P26" s="8" t="s">
        <v>118</v>
      </c>
      <c r="Q26" s="8">
        <v>7.81</v>
      </c>
      <c r="R26" s="9">
        <v>0.25990000000000002</v>
      </c>
      <c r="S26" s="8" t="s">
        <v>120</v>
      </c>
    </row>
    <row r="27" spans="1:19" hidden="1">
      <c r="A27" s="6" t="s">
        <v>101</v>
      </c>
      <c r="B27" s="6" t="s">
        <v>189</v>
      </c>
      <c r="C27" s="6">
        <v>6.87</v>
      </c>
      <c r="D27" s="6">
        <v>6.82</v>
      </c>
      <c r="E27" s="18">
        <v>6.73</v>
      </c>
      <c r="F27" s="6">
        <v>6.87</v>
      </c>
      <c r="G27" s="6">
        <v>6.72</v>
      </c>
      <c r="H27" s="6">
        <v>6.72</v>
      </c>
      <c r="I27" s="6">
        <v>6.73</v>
      </c>
      <c r="J27" s="6">
        <v>5827.7</v>
      </c>
      <c r="K27" s="6">
        <v>396.7</v>
      </c>
      <c r="M27" s="7">
        <v>-1.32E-2</v>
      </c>
      <c r="N27" s="7">
        <v>2.23E-2</v>
      </c>
      <c r="O27" s="6" t="s">
        <v>1</v>
      </c>
      <c r="P27" s="6" t="s">
        <v>102</v>
      </c>
      <c r="Q27" s="6"/>
      <c r="R27" s="7"/>
      <c r="S27" s="6"/>
    </row>
    <row r="28" spans="1:19" hidden="1">
      <c r="A28" s="8" t="s">
        <v>30</v>
      </c>
      <c r="B28" s="8" t="s">
        <v>190</v>
      </c>
      <c r="C28" s="8">
        <v>4.68</v>
      </c>
      <c r="D28" s="8">
        <v>4.68</v>
      </c>
      <c r="E28" s="18">
        <v>4.63</v>
      </c>
      <c r="F28" s="8">
        <v>4.6900000000000004</v>
      </c>
      <c r="G28" s="8">
        <v>4.62</v>
      </c>
      <c r="H28" s="8">
        <v>4.62</v>
      </c>
      <c r="I28" s="8">
        <v>4.63</v>
      </c>
      <c r="J28" s="8">
        <v>44236.1</v>
      </c>
      <c r="K28" s="8">
        <v>2060.9</v>
      </c>
      <c r="M28" s="9">
        <v>-1.0699999999999999E-2</v>
      </c>
      <c r="N28" s="9">
        <v>1.52E-2</v>
      </c>
      <c r="O28" s="8" t="s">
        <v>13</v>
      </c>
      <c r="P28" s="8" t="s">
        <v>80</v>
      </c>
      <c r="Q28" s="8"/>
      <c r="R28" s="8"/>
      <c r="S28" s="8"/>
    </row>
    <row r="29" spans="1:19" hidden="1">
      <c r="A29" s="6" t="s">
        <v>44</v>
      </c>
      <c r="B29" s="6" t="s">
        <v>191</v>
      </c>
      <c r="C29" s="6">
        <v>2.9</v>
      </c>
      <c r="D29" s="6">
        <v>2.89</v>
      </c>
      <c r="E29" s="18">
        <v>2.89</v>
      </c>
      <c r="F29" s="6">
        <v>2.98</v>
      </c>
      <c r="G29" s="6">
        <v>2.85</v>
      </c>
      <c r="H29" s="6">
        <v>2.88</v>
      </c>
      <c r="I29" s="6">
        <v>2.89</v>
      </c>
      <c r="J29" s="6">
        <v>32261.7</v>
      </c>
      <c r="K29" s="6">
        <v>939.7</v>
      </c>
      <c r="M29" s="7">
        <v>0</v>
      </c>
      <c r="N29" s="7">
        <v>4.5600000000000002E-2</v>
      </c>
      <c r="O29" s="6" t="s">
        <v>3</v>
      </c>
      <c r="P29" s="6" t="s">
        <v>82</v>
      </c>
      <c r="Q29" s="6"/>
      <c r="R29" s="6"/>
      <c r="S29" s="6"/>
    </row>
    <row r="30" spans="1:19" hidden="1">
      <c r="A30" s="8" t="s">
        <v>20</v>
      </c>
      <c r="B30" s="8" t="s">
        <v>192</v>
      </c>
      <c r="C30" s="8">
        <v>10.97</v>
      </c>
      <c r="D30" s="8">
        <v>10.85</v>
      </c>
      <c r="E30" s="18">
        <v>10.58</v>
      </c>
      <c r="F30" s="8">
        <v>11</v>
      </c>
      <c r="G30" s="8">
        <v>10.58</v>
      </c>
      <c r="H30" s="8">
        <v>10.58</v>
      </c>
      <c r="I30" s="8">
        <v>10.59</v>
      </c>
      <c r="J30" s="8">
        <v>7563.6</v>
      </c>
      <c r="K30" s="8">
        <v>818.5</v>
      </c>
      <c r="M30" s="9">
        <v>-2.4899999999999999E-2</v>
      </c>
      <c r="N30" s="9">
        <v>3.9699999999999999E-2</v>
      </c>
      <c r="O30" s="8" t="s">
        <v>7</v>
      </c>
      <c r="P30" s="8" t="s">
        <v>83</v>
      </c>
      <c r="Q30" s="8"/>
      <c r="R30" s="8"/>
      <c r="S30" s="8"/>
    </row>
    <row r="31" spans="1:19" hidden="1">
      <c r="A31" s="6" t="s">
        <v>33</v>
      </c>
      <c r="B31" s="6" t="s">
        <v>193</v>
      </c>
      <c r="C31" s="6">
        <v>31.33</v>
      </c>
      <c r="D31" s="6">
        <v>31.38</v>
      </c>
      <c r="E31" s="18">
        <v>30.18</v>
      </c>
      <c r="F31" s="6">
        <v>31.34</v>
      </c>
      <c r="G31" s="6">
        <v>30.18</v>
      </c>
      <c r="H31" s="6">
        <v>30.18</v>
      </c>
      <c r="I31" s="6">
        <v>30.28</v>
      </c>
      <c r="J31" s="6">
        <v>37756.5</v>
      </c>
      <c r="K31" s="6">
        <v>11631.8</v>
      </c>
      <c r="M31" s="7">
        <v>-3.8199999999999998E-2</v>
      </c>
      <c r="N31" s="7">
        <v>3.8399999999999997E-2</v>
      </c>
      <c r="O31" s="6" t="s">
        <v>2</v>
      </c>
      <c r="P31" s="6" t="s">
        <v>78</v>
      </c>
      <c r="Q31" s="6"/>
      <c r="R31" s="6"/>
      <c r="S31" s="6"/>
    </row>
    <row r="32" spans="1:19" hidden="1">
      <c r="A32" s="8" t="s">
        <v>46</v>
      </c>
      <c r="B32" s="8" t="s">
        <v>194</v>
      </c>
      <c r="C32" s="8">
        <v>3.58</v>
      </c>
      <c r="D32" s="8">
        <v>3.58</v>
      </c>
      <c r="E32" s="18">
        <v>3.42</v>
      </c>
      <c r="F32" s="8">
        <v>3.59</v>
      </c>
      <c r="G32" s="8">
        <v>3.4</v>
      </c>
      <c r="H32" s="8">
        <v>3.42</v>
      </c>
      <c r="I32" s="8">
        <v>3.43</v>
      </c>
      <c r="J32" s="8">
        <v>93862</v>
      </c>
      <c r="K32" s="8">
        <v>3286.5</v>
      </c>
      <c r="M32" s="9">
        <v>-4.4699999999999997E-2</v>
      </c>
      <c r="N32" s="9">
        <v>5.5899999999999998E-2</v>
      </c>
      <c r="O32" s="8" t="s">
        <v>5</v>
      </c>
      <c r="P32" s="8" t="s">
        <v>78</v>
      </c>
      <c r="Q32" s="8"/>
      <c r="R32" s="9"/>
      <c r="S32" s="8"/>
    </row>
    <row r="33" spans="1:19" hidden="1">
      <c r="A33" s="6" t="s">
        <v>17</v>
      </c>
      <c r="B33" s="6" t="s">
        <v>195</v>
      </c>
      <c r="C33" s="6">
        <v>5.66</v>
      </c>
      <c r="D33" s="6">
        <v>5.66</v>
      </c>
      <c r="E33" s="18">
        <v>5.61</v>
      </c>
      <c r="F33" s="6">
        <v>5.73</v>
      </c>
      <c r="G33" s="6">
        <v>5.6</v>
      </c>
      <c r="H33" s="6">
        <v>5.61</v>
      </c>
      <c r="I33" s="6">
        <v>5.62</v>
      </c>
      <c r="J33" s="6">
        <v>34286.300000000003</v>
      </c>
      <c r="K33" s="6">
        <v>1942</v>
      </c>
      <c r="M33" s="7">
        <v>-8.8000000000000005E-3</v>
      </c>
      <c r="N33" s="7">
        <v>2.3199999999999998E-2</v>
      </c>
      <c r="O33" s="6" t="s">
        <v>6</v>
      </c>
      <c r="P33" s="6" t="s">
        <v>98</v>
      </c>
      <c r="Q33" s="6"/>
      <c r="R33" s="6"/>
      <c r="S33" s="6"/>
    </row>
    <row r="34" spans="1:19" hidden="1">
      <c r="A34" s="8" t="s">
        <v>31</v>
      </c>
      <c r="B34" s="8" t="s">
        <v>196</v>
      </c>
      <c r="C34" s="8">
        <v>15.76</v>
      </c>
      <c r="D34" s="8">
        <v>15.76</v>
      </c>
      <c r="E34" s="18">
        <v>15.28</v>
      </c>
      <c r="F34" s="8">
        <v>15.83</v>
      </c>
      <c r="G34" s="8">
        <v>15.26</v>
      </c>
      <c r="H34" s="8">
        <v>15.27</v>
      </c>
      <c r="I34" s="8">
        <v>15.28</v>
      </c>
      <c r="J34" s="8">
        <v>146663.4</v>
      </c>
      <c r="K34" s="8">
        <v>22749.8</v>
      </c>
      <c r="M34" s="9">
        <v>-3.0499999999999999E-2</v>
      </c>
      <c r="N34" s="9">
        <v>3.7400000000000003E-2</v>
      </c>
      <c r="O34" s="8" t="s">
        <v>6</v>
      </c>
      <c r="P34" s="8" t="s">
        <v>99</v>
      </c>
      <c r="Q34" s="8"/>
      <c r="R34" s="8"/>
      <c r="S34" s="8"/>
    </row>
    <row r="35" spans="1:19" hidden="1">
      <c r="A35" s="6" t="s">
        <v>29</v>
      </c>
      <c r="B35" s="6" t="s">
        <v>197</v>
      </c>
      <c r="C35" s="6">
        <v>30.15</v>
      </c>
      <c r="D35" s="6">
        <v>30.16</v>
      </c>
      <c r="E35" s="18">
        <v>29.4</v>
      </c>
      <c r="F35" s="6">
        <v>30.15</v>
      </c>
      <c r="G35" s="6">
        <v>29.05</v>
      </c>
      <c r="H35" s="6">
        <v>29.4</v>
      </c>
      <c r="I35" s="6">
        <v>29.55</v>
      </c>
      <c r="J35" s="6">
        <v>17955.400000000001</v>
      </c>
      <c r="K35" s="6">
        <v>5327</v>
      </c>
      <c r="M35" s="7">
        <v>-2.52E-2</v>
      </c>
      <c r="N35" s="7">
        <v>3.7900000000000003E-2</v>
      </c>
      <c r="O35" s="6" t="s">
        <v>7</v>
      </c>
      <c r="P35" s="6" t="s">
        <v>86</v>
      </c>
      <c r="Q35" s="6"/>
      <c r="R35" s="6"/>
      <c r="S35" s="6"/>
    </row>
    <row r="36" spans="1:19" hidden="1">
      <c r="A36" s="8" t="s">
        <v>34</v>
      </c>
      <c r="B36" s="8" t="s">
        <v>198</v>
      </c>
      <c r="C36" s="8">
        <v>12.01</v>
      </c>
      <c r="D36" s="8">
        <v>12.07</v>
      </c>
      <c r="E36" s="18">
        <v>11.87</v>
      </c>
      <c r="F36" s="8">
        <v>12.14</v>
      </c>
      <c r="G36" s="8">
        <v>11.87</v>
      </c>
      <c r="H36" s="8">
        <v>11.86</v>
      </c>
      <c r="I36" s="8">
        <v>11.87</v>
      </c>
      <c r="J36" s="8">
        <v>14206.3</v>
      </c>
      <c r="K36" s="8">
        <v>1705</v>
      </c>
      <c r="M36" s="9">
        <v>-1.66E-2</v>
      </c>
      <c r="N36" s="9">
        <v>2.2700000000000001E-2</v>
      </c>
      <c r="O36" s="8" t="s">
        <v>12</v>
      </c>
      <c r="P36" s="8" t="s">
        <v>79</v>
      </c>
      <c r="Q36" s="8"/>
      <c r="R36" s="8"/>
      <c r="S36" s="8"/>
    </row>
    <row r="37" spans="1:19" hidden="1">
      <c r="A37" s="6" t="s">
        <v>32</v>
      </c>
      <c r="B37" s="6" t="s">
        <v>199</v>
      </c>
      <c r="C37" s="6">
        <v>7.68</v>
      </c>
      <c r="D37" s="6">
        <v>7.68</v>
      </c>
      <c r="E37" s="18">
        <v>7.56</v>
      </c>
      <c r="F37" s="6">
        <v>7.74</v>
      </c>
      <c r="G37" s="6">
        <v>7.55</v>
      </c>
      <c r="H37" s="6">
        <v>7.56</v>
      </c>
      <c r="I37" s="6">
        <v>7.57</v>
      </c>
      <c r="J37" s="6">
        <v>168497.6</v>
      </c>
      <c r="K37" s="6">
        <v>12874.4</v>
      </c>
      <c r="M37" s="7">
        <v>-1.5599999999999999E-2</v>
      </c>
      <c r="N37" s="7">
        <v>2.52E-2</v>
      </c>
      <c r="O37" s="6" t="s">
        <v>14</v>
      </c>
      <c r="P37" s="6" t="s">
        <v>77</v>
      </c>
      <c r="Q37" s="6"/>
      <c r="R37" s="6"/>
      <c r="S37" s="6"/>
    </row>
    <row r="38" spans="1:19" hidden="1">
      <c r="A38" s="8" t="s">
        <v>21</v>
      </c>
      <c r="B38" s="8" t="s">
        <v>200</v>
      </c>
      <c r="C38" s="8">
        <v>9.5</v>
      </c>
      <c r="D38" s="8">
        <v>9.5299999999999994</v>
      </c>
      <c r="E38" s="18">
        <v>9.4600000000000009</v>
      </c>
      <c r="F38" s="8">
        <v>9.6999999999999993</v>
      </c>
      <c r="G38" s="8">
        <v>9.43</v>
      </c>
      <c r="H38" s="8">
        <v>9.4499999999999993</v>
      </c>
      <c r="I38" s="8">
        <v>9.4600000000000009</v>
      </c>
      <c r="J38" s="8">
        <v>43804.800000000003</v>
      </c>
      <c r="K38" s="8">
        <v>4187.3999999999996</v>
      </c>
      <c r="M38" s="9">
        <v>-7.3000000000000001E-3</v>
      </c>
      <c r="N38" s="11">
        <v>2.86E-2</v>
      </c>
      <c r="O38" s="8" t="s">
        <v>2</v>
      </c>
      <c r="P38" s="8" t="s">
        <v>77</v>
      </c>
      <c r="Q38" s="8"/>
      <c r="R38" s="8"/>
      <c r="S38" s="8"/>
    </row>
    <row r="39" spans="1:19" hidden="1">
      <c r="A39" s="6" t="s">
        <v>122</v>
      </c>
      <c r="B39" s="6" t="s">
        <v>201</v>
      </c>
      <c r="C39" s="6">
        <v>10.81</v>
      </c>
      <c r="D39" s="6">
        <v>10.81</v>
      </c>
      <c r="E39" s="19">
        <v>10.34</v>
      </c>
      <c r="F39" s="6">
        <v>10.82</v>
      </c>
      <c r="G39" s="6">
        <v>10.01</v>
      </c>
      <c r="H39" s="6">
        <v>10.33</v>
      </c>
      <c r="I39" s="6">
        <v>10.34</v>
      </c>
      <c r="J39" s="6">
        <v>2699.2</v>
      </c>
      <c r="K39" s="6">
        <v>281</v>
      </c>
      <c r="M39" s="7">
        <v>-4.3499999999999997E-2</v>
      </c>
      <c r="N39" s="7">
        <v>8.09E-2</v>
      </c>
      <c r="O39" s="6"/>
      <c r="P39" s="6"/>
      <c r="Q39" s="6"/>
      <c r="R39" s="6"/>
      <c r="S39" s="6"/>
    </row>
    <row r="40" spans="1:19">
      <c r="A40" s="8" t="s">
        <v>146</v>
      </c>
      <c r="B40" s="8" t="s">
        <v>202</v>
      </c>
      <c r="C40" s="8">
        <v>5.75</v>
      </c>
      <c r="D40" s="8">
        <v>5.72</v>
      </c>
      <c r="E40" s="19">
        <v>5.62</v>
      </c>
      <c r="F40" s="8">
        <v>5.77</v>
      </c>
      <c r="G40" s="8">
        <v>5.61</v>
      </c>
      <c r="H40" s="8">
        <v>5.61</v>
      </c>
      <c r="I40" s="8">
        <v>5.62</v>
      </c>
      <c r="J40" s="8">
        <v>12163</v>
      </c>
      <c r="K40" s="8">
        <v>692.2</v>
      </c>
      <c r="M40" s="9">
        <v>-1.7500000000000002E-2</v>
      </c>
      <c r="N40" s="9">
        <v>2.8500000000000001E-2</v>
      </c>
      <c r="O40" s="8"/>
      <c r="P40" s="8"/>
      <c r="Q40" s="8"/>
      <c r="R40" s="8"/>
      <c r="S40" s="8"/>
    </row>
    <row r="41" spans="1:19">
      <c r="A41" s="6" t="s">
        <v>123</v>
      </c>
      <c r="B41" s="6" t="s">
        <v>203</v>
      </c>
      <c r="C41" s="6">
        <v>3.82</v>
      </c>
      <c r="D41" s="6">
        <v>3.86</v>
      </c>
      <c r="E41" s="19">
        <v>3.84</v>
      </c>
      <c r="F41" s="6">
        <v>3.94</v>
      </c>
      <c r="G41" s="6">
        <v>3.72</v>
      </c>
      <c r="H41" s="6">
        <v>3.82</v>
      </c>
      <c r="I41" s="6">
        <v>3.84</v>
      </c>
      <c r="J41" s="6">
        <v>60511.8</v>
      </c>
      <c r="K41" s="6">
        <v>2334.9</v>
      </c>
      <c r="M41" s="7">
        <v>-5.1999999999999998E-3</v>
      </c>
      <c r="N41" s="7">
        <v>5.91E-2</v>
      </c>
      <c r="O41" s="6"/>
      <c r="P41" s="6"/>
      <c r="Q41" s="6"/>
      <c r="R41" s="6"/>
      <c r="S41" s="6"/>
    </row>
    <row r="42" spans="1:19">
      <c r="A42" s="8">
        <v>1</v>
      </c>
      <c r="B42" s="8" t="s">
        <v>204</v>
      </c>
      <c r="C42" s="8"/>
      <c r="D42" s="8"/>
      <c r="E42" s="8"/>
      <c r="F42" s="8"/>
      <c r="G42" s="8"/>
      <c r="H42" s="8"/>
      <c r="I42" s="8"/>
      <c r="J42" s="8"/>
      <c r="K42" s="8"/>
      <c r="M42" s="9"/>
      <c r="N42" s="9"/>
      <c r="O42" s="8"/>
      <c r="P42" s="8"/>
      <c r="Q42" s="8"/>
      <c r="R42" s="8"/>
      <c r="S42" s="8"/>
    </row>
    <row r="43" spans="1:19">
      <c r="A43" s="6" t="s">
        <v>124</v>
      </c>
      <c r="B43" s="6" t="s">
        <v>205</v>
      </c>
      <c r="C43" s="6">
        <v>2.65</v>
      </c>
      <c r="D43" s="6">
        <v>2.65</v>
      </c>
      <c r="E43" s="19">
        <v>2.6</v>
      </c>
      <c r="F43" s="6">
        <v>2.66</v>
      </c>
      <c r="G43" s="6">
        <v>2.6</v>
      </c>
      <c r="H43" s="6">
        <v>2.6</v>
      </c>
      <c r="I43" s="6">
        <v>2.61</v>
      </c>
      <c r="J43" s="6">
        <v>42262.8</v>
      </c>
      <c r="K43" s="6">
        <v>1113.0999999999999</v>
      </c>
      <c r="M43" s="7">
        <v>-1.89E-2</v>
      </c>
      <c r="N43" s="7">
        <v>2.3099999999999999E-2</v>
      </c>
      <c r="O43" s="6"/>
      <c r="P43" s="6"/>
      <c r="Q43" s="6">
        <v>4.26</v>
      </c>
      <c r="R43" s="7">
        <v>-0.64270000000000005</v>
      </c>
      <c r="S43" s="6"/>
    </row>
    <row r="44" spans="1:19">
      <c r="A44" s="8" t="s">
        <v>124</v>
      </c>
      <c r="B44" s="8" t="s">
        <v>205</v>
      </c>
      <c r="C44" s="8">
        <v>2.65</v>
      </c>
      <c r="D44" s="8">
        <v>2.65</v>
      </c>
      <c r="E44" s="19">
        <v>2.6</v>
      </c>
      <c r="F44" s="8">
        <v>2.66</v>
      </c>
      <c r="G44" s="8">
        <v>2.6</v>
      </c>
      <c r="H44" s="8">
        <v>2.6</v>
      </c>
      <c r="I44" s="8">
        <v>2.61</v>
      </c>
      <c r="J44" s="8">
        <v>42262.8</v>
      </c>
      <c r="K44" s="8">
        <v>1113.0999999999999</v>
      </c>
      <c r="M44" s="9">
        <v>-1.89E-2</v>
      </c>
      <c r="N44" s="9">
        <v>2.3099999999999999E-2</v>
      </c>
      <c r="O44" s="8"/>
      <c r="P44" s="8"/>
      <c r="Q44" s="8">
        <v>3.8</v>
      </c>
      <c r="R44" s="9">
        <v>-0.46529999999999999</v>
      </c>
      <c r="S44" s="8"/>
    </row>
    <row r="45" spans="1:19">
      <c r="A45" s="6">
        <v>1</v>
      </c>
      <c r="B45" s="6" t="s">
        <v>204</v>
      </c>
      <c r="C45" s="6"/>
      <c r="D45" s="6"/>
      <c r="E45" s="6"/>
      <c r="F45" s="6"/>
      <c r="G45" s="6"/>
      <c r="H45" s="6"/>
      <c r="I45" s="6"/>
      <c r="J45" s="6"/>
      <c r="K45" s="6"/>
      <c r="M45" s="7"/>
      <c r="N45" s="7"/>
      <c r="O45" s="6"/>
      <c r="P45" s="6"/>
      <c r="Q45" s="6"/>
      <c r="R45" s="7"/>
      <c r="S45" s="6"/>
    </row>
    <row r="46" spans="1:19">
      <c r="A46" s="8" t="s">
        <v>125</v>
      </c>
      <c r="B46" s="8" t="s">
        <v>206</v>
      </c>
      <c r="C46" s="8">
        <v>3.5</v>
      </c>
      <c r="D46" s="8">
        <v>3.51</v>
      </c>
      <c r="E46" s="19">
        <v>3.48</v>
      </c>
      <c r="F46" s="8">
        <v>3.55</v>
      </c>
      <c r="G46" s="8">
        <v>3.47</v>
      </c>
      <c r="H46" s="8">
        <v>3.48</v>
      </c>
      <c r="I46" s="8">
        <v>3.49</v>
      </c>
      <c r="J46" s="8">
        <v>14360.2</v>
      </c>
      <c r="K46" s="8">
        <v>504.8</v>
      </c>
      <c r="M46" s="9">
        <v>-8.5000000000000006E-3</v>
      </c>
      <c r="N46" s="9">
        <v>2.3099999999999999E-2</v>
      </c>
      <c r="O46" s="8"/>
      <c r="P46" s="8"/>
      <c r="Q46" s="8"/>
      <c r="R46" s="8"/>
      <c r="S46" s="8"/>
    </row>
    <row r="47" spans="1:19">
      <c r="A47" s="6" t="s">
        <v>126</v>
      </c>
      <c r="B47" s="6" t="s">
        <v>207</v>
      </c>
      <c r="C47" s="6">
        <v>4.95</v>
      </c>
      <c r="D47" s="6">
        <v>4.96</v>
      </c>
      <c r="E47" s="19">
        <v>4.8600000000000003</v>
      </c>
      <c r="F47" s="6">
        <v>4.96</v>
      </c>
      <c r="G47" s="6">
        <v>4.8499999999999996</v>
      </c>
      <c r="H47" s="6">
        <v>4.8499999999999996</v>
      </c>
      <c r="I47" s="6">
        <v>4.8600000000000003</v>
      </c>
      <c r="J47" s="6">
        <v>45284.5</v>
      </c>
      <c r="K47" s="6">
        <v>2225.6</v>
      </c>
      <c r="M47" s="7">
        <v>-2.0199999999999999E-2</v>
      </c>
      <c r="N47" s="7">
        <v>2.2700000000000001E-2</v>
      </c>
      <c r="O47" s="6"/>
      <c r="P47" s="6"/>
      <c r="Q47" s="6"/>
      <c r="R47" s="6"/>
      <c r="S47" s="6"/>
    </row>
    <row r="48" spans="1:19">
      <c r="A48" s="8">
        <v>1</v>
      </c>
      <c r="B48" s="8" t="s">
        <v>204</v>
      </c>
      <c r="C48" s="8"/>
      <c r="D48" s="8"/>
      <c r="E48" s="8"/>
      <c r="F48" s="8"/>
      <c r="G48" s="8"/>
      <c r="H48" s="8"/>
      <c r="I48" s="8"/>
      <c r="J48" s="8"/>
      <c r="K48" s="8"/>
      <c r="M48" s="9"/>
      <c r="N48" s="9"/>
      <c r="O48" s="8"/>
      <c r="P48" s="8"/>
      <c r="Q48" s="8"/>
      <c r="R48" s="8"/>
      <c r="S48" s="8"/>
    </row>
    <row r="49" spans="1:23">
      <c r="A49" s="6" t="s">
        <v>145</v>
      </c>
      <c r="B49" s="6" t="s">
        <v>208</v>
      </c>
      <c r="C49" s="6">
        <v>22.35</v>
      </c>
      <c r="D49" s="6">
        <v>22.43</v>
      </c>
      <c r="E49" s="19">
        <v>22.03</v>
      </c>
      <c r="F49" s="6">
        <v>22.84</v>
      </c>
      <c r="G49" s="6">
        <v>22.03</v>
      </c>
      <c r="H49" s="6">
        <v>22.03</v>
      </c>
      <c r="I49" s="6">
        <v>22.04</v>
      </c>
      <c r="J49" s="6">
        <v>33355.4</v>
      </c>
      <c r="K49" s="6">
        <v>7496.7</v>
      </c>
      <c r="M49" s="7">
        <v>-1.78E-2</v>
      </c>
      <c r="N49" s="7">
        <v>3.6799999999999999E-2</v>
      </c>
      <c r="O49" s="6"/>
      <c r="P49" s="6"/>
      <c r="Q49" s="6">
        <v>27.42</v>
      </c>
      <c r="R49" s="7">
        <v>-0.24790000000000001</v>
      </c>
      <c r="S49" s="12" t="s">
        <v>148</v>
      </c>
    </row>
    <row r="50" spans="1:23">
      <c r="A50" s="8" t="s">
        <v>144</v>
      </c>
      <c r="B50" s="8" t="s">
        <v>209</v>
      </c>
      <c r="C50" s="8">
        <v>27.5</v>
      </c>
      <c r="D50" s="8">
        <v>27.78</v>
      </c>
      <c r="E50" s="19">
        <v>27.02</v>
      </c>
      <c r="F50" s="8">
        <v>27.5</v>
      </c>
      <c r="G50" s="8">
        <v>27.01</v>
      </c>
      <c r="H50" s="8">
        <v>27.02</v>
      </c>
      <c r="I50" s="8">
        <v>27.2</v>
      </c>
      <c r="J50" s="8">
        <v>569.20000000000005</v>
      </c>
      <c r="K50" s="8">
        <v>155.19999999999999</v>
      </c>
      <c r="M50" s="9">
        <v>-2.7400000000000001E-2</v>
      </c>
      <c r="N50" s="9">
        <v>1.8100000000000002E-2</v>
      </c>
      <c r="O50" s="8"/>
      <c r="P50" s="8"/>
      <c r="Q50" s="8">
        <v>31.76</v>
      </c>
      <c r="R50" s="9">
        <v>-0.17849999999999999</v>
      </c>
      <c r="S50" s="13" t="s">
        <v>138</v>
      </c>
    </row>
    <row r="51" spans="1:23">
      <c r="A51" s="6">
        <v>1</v>
      </c>
      <c r="B51" s="6" t="s">
        <v>204</v>
      </c>
      <c r="C51" s="6"/>
      <c r="D51" s="6"/>
      <c r="E51" s="6"/>
      <c r="F51" s="6"/>
      <c r="G51" s="6"/>
      <c r="H51" s="6"/>
      <c r="I51" s="6"/>
      <c r="J51" s="6"/>
      <c r="K51" s="6"/>
      <c r="M51" s="7"/>
      <c r="N51" s="7"/>
      <c r="O51" s="6"/>
      <c r="P51" s="6"/>
      <c r="Q51" s="6"/>
      <c r="R51" s="7"/>
      <c r="S51" s="12"/>
    </row>
    <row r="52" spans="1:23">
      <c r="A52" s="8" t="s">
        <v>143</v>
      </c>
      <c r="B52" s="8" t="s">
        <v>210</v>
      </c>
      <c r="C52" s="8">
        <v>1.83</v>
      </c>
      <c r="D52" s="8">
        <v>1.83</v>
      </c>
      <c r="E52" s="19">
        <v>1.81</v>
      </c>
      <c r="F52" s="8">
        <v>1.85</v>
      </c>
      <c r="G52" s="8">
        <v>1.81</v>
      </c>
      <c r="H52" s="8">
        <v>1.81</v>
      </c>
      <c r="I52" s="8">
        <v>1.82</v>
      </c>
      <c r="J52" s="8">
        <v>325004.09999999998</v>
      </c>
      <c r="K52" s="8">
        <v>5936.7</v>
      </c>
      <c r="M52" s="9">
        <v>-1.09E-2</v>
      </c>
      <c r="N52" s="9">
        <v>2.2100000000000002E-2</v>
      </c>
      <c r="O52" s="8"/>
      <c r="P52" s="8"/>
      <c r="Q52" s="8">
        <v>3.17</v>
      </c>
      <c r="R52" s="9">
        <v>-0.75590000000000002</v>
      </c>
      <c r="S52" s="8">
        <v>30000</v>
      </c>
    </row>
    <row r="53" spans="1:23">
      <c r="A53" s="6" t="s">
        <v>143</v>
      </c>
      <c r="B53" s="6" t="s">
        <v>210</v>
      </c>
      <c r="C53" s="6">
        <v>1.83</v>
      </c>
      <c r="D53" s="6">
        <v>1.83</v>
      </c>
      <c r="E53" s="19">
        <v>1.81</v>
      </c>
      <c r="F53" s="6">
        <v>1.85</v>
      </c>
      <c r="G53" s="6">
        <v>1.81</v>
      </c>
      <c r="H53" s="6">
        <v>1.81</v>
      </c>
      <c r="I53" s="6">
        <v>1.82</v>
      </c>
      <c r="J53" s="6">
        <v>325004.09999999998</v>
      </c>
      <c r="K53" s="6">
        <v>5936.7</v>
      </c>
      <c r="M53" s="7">
        <v>-1.09E-2</v>
      </c>
      <c r="N53" s="7">
        <v>2.2100000000000002E-2</v>
      </c>
      <c r="O53" s="6"/>
      <c r="P53" s="6"/>
      <c r="Q53" s="6">
        <v>3.25</v>
      </c>
      <c r="R53" s="7">
        <v>-0.80020000000000002</v>
      </c>
      <c r="S53" s="6">
        <v>30000</v>
      </c>
    </row>
    <row r="54" spans="1:23">
      <c r="A54" s="8" t="s">
        <v>143</v>
      </c>
      <c r="B54" s="8" t="s">
        <v>210</v>
      </c>
      <c r="C54" s="8">
        <v>1.83</v>
      </c>
      <c r="D54" s="8">
        <v>1.83</v>
      </c>
      <c r="E54" s="19">
        <v>1.81</v>
      </c>
      <c r="F54" s="8">
        <v>1.85</v>
      </c>
      <c r="G54" s="8">
        <v>1.81</v>
      </c>
      <c r="H54" s="8">
        <v>1.81</v>
      </c>
      <c r="I54" s="8">
        <v>1.82</v>
      </c>
      <c r="J54" s="8">
        <v>325004.09999999998</v>
      </c>
      <c r="K54" s="8">
        <v>5936.7</v>
      </c>
      <c r="M54" s="9">
        <v>-1.09E-2</v>
      </c>
      <c r="N54" s="9">
        <v>2.2100000000000002E-2</v>
      </c>
      <c r="O54" s="8"/>
      <c r="P54" s="8"/>
      <c r="Q54" s="8">
        <v>2.5499999999999998</v>
      </c>
      <c r="R54" s="9">
        <v>-0.41249999999999998</v>
      </c>
      <c r="S54" s="8" t="s">
        <v>159</v>
      </c>
      <c r="T54" s="20"/>
      <c r="U54" s="21"/>
    </row>
    <row r="55" spans="1:23">
      <c r="A55" s="6" t="s">
        <v>143</v>
      </c>
      <c r="B55" s="6" t="s">
        <v>210</v>
      </c>
      <c r="C55" s="6">
        <v>1.83</v>
      </c>
      <c r="D55" s="6">
        <v>1.83</v>
      </c>
      <c r="E55" s="19">
        <v>1.81</v>
      </c>
      <c r="F55" s="6">
        <v>1.85</v>
      </c>
      <c r="G55" s="6">
        <v>1.81</v>
      </c>
      <c r="H55" s="6">
        <v>1.81</v>
      </c>
      <c r="I55" s="6">
        <v>1.82</v>
      </c>
      <c r="J55" s="6">
        <v>325004.09999999998</v>
      </c>
      <c r="K55" s="6">
        <v>5936.7</v>
      </c>
      <c r="M55" s="7">
        <v>-1.09E-2</v>
      </c>
      <c r="N55" s="7">
        <v>2.2100000000000002E-2</v>
      </c>
      <c r="O55" s="6"/>
      <c r="P55" s="6"/>
      <c r="Q55" s="6">
        <v>2.57</v>
      </c>
      <c r="R55" s="7">
        <v>-0.42359999999999998</v>
      </c>
      <c r="S55" s="6" t="s">
        <v>159</v>
      </c>
      <c r="T55" s="20"/>
      <c r="U55" s="21"/>
    </row>
    <row r="56" spans="1:23">
      <c r="A56" s="8">
        <v>1</v>
      </c>
      <c r="B56" s="8" t="s">
        <v>204</v>
      </c>
      <c r="C56" s="8"/>
      <c r="D56" s="8"/>
      <c r="E56" s="8"/>
      <c r="F56" s="8"/>
      <c r="G56" s="8"/>
      <c r="H56" s="8"/>
      <c r="I56" s="8"/>
      <c r="J56" s="8"/>
      <c r="K56" s="8"/>
      <c r="M56" s="9"/>
      <c r="N56" s="9"/>
      <c r="O56" s="8"/>
      <c r="P56" s="8"/>
      <c r="Q56" s="8"/>
      <c r="R56" s="9"/>
      <c r="S56" s="8"/>
    </row>
    <row r="57" spans="1:23">
      <c r="A57" s="6" t="s">
        <v>127</v>
      </c>
      <c r="B57" s="6" t="s">
        <v>211</v>
      </c>
      <c r="C57" s="6">
        <v>3.83</v>
      </c>
      <c r="D57" s="6">
        <v>3.83</v>
      </c>
      <c r="E57" s="19">
        <v>3.78</v>
      </c>
      <c r="F57" s="6">
        <v>3.84</v>
      </c>
      <c r="G57" s="6">
        <v>3.78</v>
      </c>
      <c r="H57" s="6">
        <v>3.78</v>
      </c>
      <c r="I57" s="6">
        <v>3.79</v>
      </c>
      <c r="J57" s="6">
        <v>65565.8</v>
      </c>
      <c r="K57" s="6">
        <v>2496.3000000000002</v>
      </c>
      <c r="M57" s="7">
        <v>-1.3100000000000001E-2</v>
      </c>
      <c r="N57" s="7">
        <v>1.5900000000000001E-2</v>
      </c>
      <c r="O57" s="6"/>
      <c r="P57" s="6"/>
      <c r="Q57" s="6">
        <v>6.31</v>
      </c>
      <c r="R57" s="7">
        <v>-0.67369999999999997</v>
      </c>
      <c r="S57" s="12" t="s">
        <v>133</v>
      </c>
    </row>
    <row r="58" spans="1:23">
      <c r="A58" s="8" t="s">
        <v>127</v>
      </c>
      <c r="B58" s="8" t="s">
        <v>211</v>
      </c>
      <c r="C58" s="8">
        <v>3.83</v>
      </c>
      <c r="D58" s="8">
        <v>3.83</v>
      </c>
      <c r="E58" s="19">
        <v>3.78</v>
      </c>
      <c r="F58" s="8">
        <v>3.84</v>
      </c>
      <c r="G58" s="8">
        <v>3.78</v>
      </c>
      <c r="H58" s="8">
        <v>3.78</v>
      </c>
      <c r="I58" s="8">
        <v>3.79</v>
      </c>
      <c r="J58" s="8">
        <v>65565.8</v>
      </c>
      <c r="K58" s="8">
        <v>2496.3000000000002</v>
      </c>
      <c r="M58" s="9">
        <v>-1.3100000000000001E-2</v>
      </c>
      <c r="N58" s="9">
        <v>1.5900000000000001E-2</v>
      </c>
      <c r="O58" s="8"/>
      <c r="P58" s="8"/>
      <c r="Q58" s="8">
        <v>5.2</v>
      </c>
      <c r="R58" s="9">
        <v>-0.37919999999999998</v>
      </c>
      <c r="S58" s="13" t="s">
        <v>152</v>
      </c>
      <c r="T58" s="16" t="s">
        <v>157</v>
      </c>
      <c r="U58" s="4">
        <v>5.53</v>
      </c>
      <c r="V58" s="4">
        <v>20110812</v>
      </c>
      <c r="W58" s="4" t="s">
        <v>163</v>
      </c>
    </row>
    <row r="59" spans="1:23">
      <c r="A59" s="6">
        <v>1</v>
      </c>
      <c r="B59" s="6" t="s">
        <v>204</v>
      </c>
      <c r="C59" s="6"/>
      <c r="D59" s="6"/>
      <c r="E59" s="6"/>
      <c r="F59" s="6"/>
      <c r="G59" s="6"/>
      <c r="H59" s="6"/>
      <c r="I59" s="6"/>
      <c r="J59" s="6"/>
      <c r="K59" s="6"/>
      <c r="M59" s="7"/>
      <c r="N59" s="7"/>
      <c r="O59" s="6"/>
      <c r="P59" s="6"/>
      <c r="Q59" s="6"/>
      <c r="R59" s="7"/>
      <c r="S59" s="6"/>
    </row>
    <row r="60" spans="1:23">
      <c r="A60" s="8" t="s">
        <v>128</v>
      </c>
      <c r="B60" s="8" t="s">
        <v>212</v>
      </c>
      <c r="C60" s="8">
        <v>8.81</v>
      </c>
      <c r="D60" s="8">
        <v>8.83</v>
      </c>
      <c r="E60" s="19">
        <v>8.73</v>
      </c>
      <c r="F60" s="8">
        <v>8.92</v>
      </c>
      <c r="G60" s="8">
        <v>8.6999999999999993</v>
      </c>
      <c r="H60" s="8">
        <v>8.7100000000000009</v>
      </c>
      <c r="I60" s="8">
        <v>8.73</v>
      </c>
      <c r="J60" s="8">
        <v>28290.3</v>
      </c>
      <c r="K60" s="8">
        <v>2490.1</v>
      </c>
      <c r="M60" s="9">
        <v>-1.1299999999999999E-2</v>
      </c>
      <c r="N60" s="9">
        <v>2.53E-2</v>
      </c>
      <c r="O60" s="8"/>
      <c r="P60" s="8"/>
      <c r="Q60" s="8">
        <v>11.99</v>
      </c>
      <c r="R60" s="9">
        <v>-0.377</v>
      </c>
      <c r="S60" s="13" t="s">
        <v>134</v>
      </c>
    </row>
    <row r="61" spans="1:23">
      <c r="A61" s="6">
        <v>1</v>
      </c>
      <c r="B61" s="6" t="s">
        <v>204</v>
      </c>
      <c r="C61" s="6"/>
      <c r="D61" s="6"/>
      <c r="E61" s="6"/>
      <c r="F61" s="6"/>
      <c r="G61" s="6"/>
      <c r="H61" s="6"/>
      <c r="I61" s="6"/>
      <c r="J61" s="6"/>
      <c r="K61" s="6"/>
      <c r="M61" s="7"/>
      <c r="N61" s="7"/>
      <c r="O61" s="6"/>
      <c r="P61" s="6"/>
      <c r="Q61" s="6"/>
      <c r="R61" s="7"/>
      <c r="S61" s="12"/>
    </row>
    <row r="62" spans="1:23">
      <c r="A62" s="8" t="s">
        <v>129</v>
      </c>
      <c r="B62" s="8" t="s">
        <v>213</v>
      </c>
      <c r="C62" s="8">
        <v>8.6</v>
      </c>
      <c r="D62" s="8">
        <v>8.6</v>
      </c>
      <c r="E62" s="19">
        <v>8.56</v>
      </c>
      <c r="F62" s="8">
        <v>8.7200000000000006</v>
      </c>
      <c r="G62" s="8">
        <v>8.4499999999999993</v>
      </c>
      <c r="H62" s="8">
        <v>8.5500000000000007</v>
      </c>
      <c r="I62" s="8">
        <v>8.56</v>
      </c>
      <c r="J62" s="8">
        <v>22224.400000000001</v>
      </c>
      <c r="K62" s="8">
        <v>1917.8</v>
      </c>
      <c r="M62" s="9">
        <v>-4.7000000000000002E-3</v>
      </c>
      <c r="N62" s="9">
        <v>3.2000000000000001E-2</v>
      </c>
      <c r="O62" s="8"/>
      <c r="P62" s="8"/>
      <c r="Q62" s="8">
        <v>12.72</v>
      </c>
      <c r="R62" s="9">
        <v>-0.48980000000000001</v>
      </c>
      <c r="S62" s="13" t="s">
        <v>135</v>
      </c>
    </row>
    <row r="63" spans="1:23">
      <c r="A63" s="6" t="s">
        <v>129</v>
      </c>
      <c r="B63" s="6" t="s">
        <v>213</v>
      </c>
      <c r="C63" s="6">
        <v>8.6</v>
      </c>
      <c r="D63" s="6">
        <v>8.6</v>
      </c>
      <c r="E63" s="19">
        <v>8.56</v>
      </c>
      <c r="F63" s="6">
        <v>8.7200000000000006</v>
      </c>
      <c r="G63" s="6">
        <v>8.4499999999999993</v>
      </c>
      <c r="H63" s="6">
        <v>8.5500000000000007</v>
      </c>
      <c r="I63" s="6">
        <v>8.56</v>
      </c>
      <c r="J63" s="6">
        <v>22224.400000000001</v>
      </c>
      <c r="K63" s="6">
        <v>1917.8</v>
      </c>
      <c r="M63" s="7">
        <v>-4.7000000000000002E-3</v>
      </c>
      <c r="N63" s="7">
        <v>3.2000000000000001E-2</v>
      </c>
      <c r="O63" s="6"/>
      <c r="P63" s="6"/>
      <c r="Q63" s="6">
        <v>13.3</v>
      </c>
      <c r="R63" s="7">
        <v>-0.55779999999999996</v>
      </c>
      <c r="S63" s="12" t="s">
        <v>147</v>
      </c>
    </row>
    <row r="64" spans="1:23">
      <c r="A64" s="8" t="s">
        <v>129</v>
      </c>
      <c r="B64" s="8" t="s">
        <v>213</v>
      </c>
      <c r="C64" s="8">
        <v>8.6</v>
      </c>
      <c r="D64" s="8">
        <v>8.6</v>
      </c>
      <c r="E64" s="19">
        <v>8.56</v>
      </c>
      <c r="F64" s="8">
        <v>8.7200000000000006</v>
      </c>
      <c r="G64" s="8">
        <v>8.4499999999999993</v>
      </c>
      <c r="H64" s="8">
        <v>8.5500000000000007</v>
      </c>
      <c r="I64" s="8">
        <v>8.56</v>
      </c>
      <c r="J64" s="8">
        <v>22224.400000000001</v>
      </c>
      <c r="K64" s="8">
        <v>1917.8</v>
      </c>
      <c r="M64" s="9">
        <v>-4.7000000000000002E-3</v>
      </c>
      <c r="N64" s="9">
        <v>3.2000000000000001E-2</v>
      </c>
      <c r="O64" s="8"/>
      <c r="P64" s="8"/>
      <c r="Q64" s="8">
        <v>9.8000000000000007</v>
      </c>
      <c r="R64" s="9">
        <v>-0.14779999999999999</v>
      </c>
      <c r="S64" s="13" t="s">
        <v>150</v>
      </c>
      <c r="T64" s="16" t="s">
        <v>157</v>
      </c>
      <c r="U64" s="4">
        <v>10.039999999999999</v>
      </c>
      <c r="V64" s="4">
        <v>20110812</v>
      </c>
      <c r="W64" s="4" t="s">
        <v>163</v>
      </c>
    </row>
    <row r="65" spans="1:23">
      <c r="A65" s="6">
        <v>1</v>
      </c>
      <c r="B65" s="6" t="s">
        <v>204</v>
      </c>
      <c r="C65" s="6"/>
      <c r="D65" s="6"/>
      <c r="E65" s="6"/>
      <c r="F65" s="6"/>
      <c r="G65" s="6"/>
      <c r="H65" s="6"/>
      <c r="I65" s="6"/>
      <c r="J65" s="6"/>
      <c r="K65" s="6"/>
      <c r="M65" s="7"/>
      <c r="N65" s="7"/>
      <c r="O65" s="6"/>
      <c r="P65" s="6"/>
      <c r="Q65" s="6"/>
      <c r="R65" s="7"/>
      <c r="S65" s="12"/>
    </row>
    <row r="66" spans="1:23">
      <c r="A66" s="8" t="s">
        <v>130</v>
      </c>
      <c r="B66" s="8" t="s">
        <v>214</v>
      </c>
      <c r="C66" s="8">
        <v>4.9000000000000004</v>
      </c>
      <c r="D66" s="8">
        <v>4.92</v>
      </c>
      <c r="E66" s="19">
        <v>4.82</v>
      </c>
      <c r="F66" s="8">
        <v>4.96</v>
      </c>
      <c r="G66" s="8">
        <v>4.8</v>
      </c>
      <c r="H66" s="8">
        <v>4.8</v>
      </c>
      <c r="I66" s="8">
        <v>4.82</v>
      </c>
      <c r="J66" s="8">
        <v>28691.9</v>
      </c>
      <c r="K66" s="8">
        <v>1399.8</v>
      </c>
      <c r="M66" s="9">
        <v>-2.0299999999999999E-2</v>
      </c>
      <c r="N66" s="9">
        <v>3.3300000000000003E-2</v>
      </c>
      <c r="O66" s="8"/>
      <c r="P66" s="8"/>
      <c r="Q66" s="8">
        <v>7.11</v>
      </c>
      <c r="R66" s="9">
        <v>-0.47889999999999999</v>
      </c>
      <c r="S66" s="13" t="s">
        <v>136</v>
      </c>
    </row>
    <row r="67" spans="1:23">
      <c r="A67" s="6" t="s">
        <v>130</v>
      </c>
      <c r="B67" s="6" t="s">
        <v>214</v>
      </c>
      <c r="C67" s="6">
        <v>4.9000000000000004</v>
      </c>
      <c r="D67" s="6">
        <v>4.92</v>
      </c>
      <c r="E67" s="19">
        <v>4.82</v>
      </c>
      <c r="F67" s="6">
        <v>4.96</v>
      </c>
      <c r="G67" s="6">
        <v>4.8</v>
      </c>
      <c r="H67" s="6">
        <v>4.8</v>
      </c>
      <c r="I67" s="6">
        <v>4.82</v>
      </c>
      <c r="J67" s="6">
        <v>28691.9</v>
      </c>
      <c r="K67" s="6">
        <v>1399.8</v>
      </c>
      <c r="M67" s="7">
        <v>-2.0299999999999999E-2</v>
      </c>
      <c r="N67" s="7">
        <v>3.3300000000000003E-2</v>
      </c>
      <c r="O67" s="6"/>
      <c r="P67" s="6"/>
      <c r="Q67" s="6">
        <v>5</v>
      </c>
      <c r="R67" s="7">
        <v>-0.04</v>
      </c>
      <c r="S67" s="12" t="s">
        <v>151</v>
      </c>
      <c r="T67" s="20" t="s">
        <v>157</v>
      </c>
      <c r="U67" s="4">
        <v>5.13</v>
      </c>
      <c r="W67" s="4" t="s">
        <v>163</v>
      </c>
    </row>
    <row r="68" spans="1:23">
      <c r="A68" s="8">
        <v>1</v>
      </c>
      <c r="B68" s="8" t="s">
        <v>204</v>
      </c>
      <c r="C68" s="8"/>
      <c r="D68" s="8"/>
      <c r="E68" s="8"/>
      <c r="F68" s="8"/>
      <c r="G68" s="8"/>
      <c r="H68" s="8"/>
      <c r="I68" s="8"/>
      <c r="J68" s="8"/>
      <c r="K68" s="8"/>
      <c r="M68" s="9"/>
      <c r="N68" s="9"/>
      <c r="O68" s="8"/>
      <c r="P68" s="8"/>
      <c r="Q68" s="8"/>
      <c r="R68" s="9"/>
      <c r="S68" s="13"/>
    </row>
    <row r="69" spans="1:23">
      <c r="A69" s="6" t="s">
        <v>131</v>
      </c>
      <c r="B69" s="6" t="s">
        <v>215</v>
      </c>
      <c r="C69" s="6">
        <v>4.01</v>
      </c>
      <c r="D69" s="6">
        <v>4.01</v>
      </c>
      <c r="E69" s="19">
        <v>3.96</v>
      </c>
      <c r="F69" s="6">
        <v>4.0599999999999996</v>
      </c>
      <c r="G69" s="6">
        <v>3.96</v>
      </c>
      <c r="H69" s="6">
        <v>3.96</v>
      </c>
      <c r="I69" s="6">
        <v>3.97</v>
      </c>
      <c r="J69" s="6">
        <v>24007</v>
      </c>
      <c r="K69" s="6">
        <v>962</v>
      </c>
      <c r="M69" s="7">
        <v>-1.2500000000000001E-2</v>
      </c>
      <c r="N69" s="7">
        <v>2.53E-2</v>
      </c>
      <c r="O69" s="6"/>
      <c r="P69" s="6"/>
      <c r="Q69" s="6">
        <v>6.18</v>
      </c>
      <c r="R69" s="7">
        <v>-0.56469999999999998</v>
      </c>
      <c r="S69" s="12" t="s">
        <v>137</v>
      </c>
    </row>
    <row r="70" spans="1:23">
      <c r="A70" s="8" t="s">
        <v>131</v>
      </c>
      <c r="B70" s="8" t="s">
        <v>215</v>
      </c>
      <c r="C70" s="8">
        <v>4.01</v>
      </c>
      <c r="D70" s="8">
        <v>4.01</v>
      </c>
      <c r="E70" s="19">
        <v>3.96</v>
      </c>
      <c r="F70" s="8">
        <v>4.0599999999999996</v>
      </c>
      <c r="G70" s="8">
        <v>3.96</v>
      </c>
      <c r="H70" s="8">
        <v>3.96</v>
      </c>
      <c r="I70" s="8">
        <v>3.97</v>
      </c>
      <c r="J70" s="8">
        <v>24007</v>
      </c>
      <c r="K70" s="8">
        <v>962</v>
      </c>
      <c r="M70" s="9">
        <v>-1.2500000000000001E-2</v>
      </c>
      <c r="N70" s="9">
        <v>2.53E-2</v>
      </c>
      <c r="O70" s="8"/>
      <c r="P70" s="8"/>
      <c r="Q70" s="8">
        <v>6.55</v>
      </c>
      <c r="R70" s="9">
        <v>-0.6583</v>
      </c>
      <c r="S70" s="13" t="s">
        <v>149</v>
      </c>
      <c r="T70" s="20"/>
    </row>
    <row r="71" spans="1:23">
      <c r="A71" s="6" t="s">
        <v>131</v>
      </c>
      <c r="B71" s="6" t="s">
        <v>215</v>
      </c>
      <c r="C71" s="6">
        <v>4.01</v>
      </c>
      <c r="D71" s="6">
        <v>4.01</v>
      </c>
      <c r="E71" s="19">
        <v>3.96</v>
      </c>
      <c r="F71" s="6">
        <v>4.0599999999999996</v>
      </c>
      <c r="G71" s="6">
        <v>3.96</v>
      </c>
      <c r="H71" s="6">
        <v>3.96</v>
      </c>
      <c r="I71" s="6">
        <v>3.97</v>
      </c>
      <c r="J71" s="6">
        <v>24007</v>
      </c>
      <c r="K71" s="6">
        <v>962</v>
      </c>
      <c r="M71" s="7">
        <v>-1.2500000000000001E-2</v>
      </c>
      <c r="N71" s="7">
        <v>2.53E-2</v>
      </c>
      <c r="O71" s="6"/>
      <c r="P71" s="6"/>
      <c r="Q71" s="6">
        <v>5.37</v>
      </c>
      <c r="R71" s="7">
        <v>-0.35959999999999998</v>
      </c>
      <c r="S71" s="12" t="s">
        <v>161</v>
      </c>
      <c r="T71" s="20" t="s">
        <v>158</v>
      </c>
      <c r="U71" s="4" t="s">
        <v>160</v>
      </c>
    </row>
    <row r="72" spans="1:23">
      <c r="A72" s="8" t="s">
        <v>131</v>
      </c>
      <c r="B72" s="8" t="s">
        <v>215</v>
      </c>
      <c r="C72" s="8">
        <v>4.01</v>
      </c>
      <c r="D72" s="8">
        <v>4.01</v>
      </c>
      <c r="E72" s="19">
        <v>3.96</v>
      </c>
      <c r="F72" s="8">
        <v>4.0599999999999996</v>
      </c>
      <c r="G72" s="8">
        <v>3.96</v>
      </c>
      <c r="H72" s="8">
        <v>3.96</v>
      </c>
      <c r="I72" s="8">
        <v>3.97</v>
      </c>
      <c r="J72" s="8">
        <v>24007</v>
      </c>
      <c r="K72" s="8">
        <v>962</v>
      </c>
      <c r="M72" s="9">
        <v>-1.2500000000000001E-2</v>
      </c>
      <c r="N72" s="9">
        <v>2.53E-2</v>
      </c>
      <c r="O72" s="8"/>
      <c r="P72" s="8"/>
      <c r="Q72" s="8">
        <v>5.05</v>
      </c>
      <c r="R72" s="9">
        <v>-0.27860000000000001</v>
      </c>
      <c r="S72" s="13" t="s">
        <v>164</v>
      </c>
      <c r="T72" s="20"/>
      <c r="U72" s="4" t="s">
        <v>160</v>
      </c>
    </row>
    <row r="73" spans="1:23">
      <c r="A73" s="6">
        <v>1</v>
      </c>
      <c r="B73" s="6" t="s">
        <v>204</v>
      </c>
      <c r="C73" s="6"/>
      <c r="D73" s="6"/>
      <c r="E73" s="6"/>
      <c r="F73" s="6"/>
      <c r="G73" s="6"/>
      <c r="H73" s="6"/>
      <c r="I73" s="6"/>
      <c r="J73" s="6"/>
      <c r="K73" s="6"/>
      <c r="M73" s="7"/>
      <c r="N73" s="7"/>
      <c r="O73" s="6"/>
      <c r="P73" s="6"/>
      <c r="Q73" s="6"/>
      <c r="R73" s="7"/>
      <c r="S73" s="12"/>
    </row>
    <row r="74" spans="1:23">
      <c r="A74" s="8" t="s">
        <v>132</v>
      </c>
      <c r="B74" s="8" t="s">
        <v>216</v>
      </c>
      <c r="C74" s="8">
        <v>3.75</v>
      </c>
      <c r="D74" s="8">
        <v>3.76</v>
      </c>
      <c r="E74" s="19">
        <v>3.6</v>
      </c>
      <c r="F74" s="8">
        <v>3.77</v>
      </c>
      <c r="G74" s="8">
        <v>3.59</v>
      </c>
      <c r="H74" s="8">
        <v>3.59</v>
      </c>
      <c r="I74" s="8">
        <v>3.6</v>
      </c>
      <c r="J74" s="8">
        <v>201900.6</v>
      </c>
      <c r="K74" s="8">
        <v>7413.6</v>
      </c>
      <c r="M74" s="9">
        <v>-4.2599999999999999E-2</v>
      </c>
      <c r="N74" s="9">
        <v>5.0099999999999999E-2</v>
      </c>
      <c r="O74" s="8"/>
      <c r="P74" s="8"/>
      <c r="Q74" s="8">
        <v>5.69</v>
      </c>
      <c r="R74" s="9">
        <v>-0.5847</v>
      </c>
      <c r="S74" s="13" t="s">
        <v>138</v>
      </c>
    </row>
    <row r="75" spans="1:23">
      <c r="A75" s="6" t="s">
        <v>132</v>
      </c>
      <c r="B75" s="6" t="s">
        <v>216</v>
      </c>
      <c r="C75" s="6">
        <v>3.75</v>
      </c>
      <c r="D75" s="6">
        <v>3.76</v>
      </c>
      <c r="E75" s="19">
        <v>3.6</v>
      </c>
      <c r="F75" s="6">
        <v>3.77</v>
      </c>
      <c r="G75" s="6">
        <v>3.59</v>
      </c>
      <c r="H75" s="6">
        <v>3.59</v>
      </c>
      <c r="I75" s="6">
        <v>3.6</v>
      </c>
      <c r="J75" s="6">
        <v>201900.6</v>
      </c>
      <c r="K75" s="6">
        <v>7413.6</v>
      </c>
      <c r="M75" s="7">
        <v>-4.2599999999999999E-2</v>
      </c>
      <c r="N75" s="7">
        <v>5.0099999999999999E-2</v>
      </c>
      <c r="O75" s="6"/>
      <c r="P75" s="6"/>
      <c r="Q75" s="6">
        <v>4</v>
      </c>
      <c r="R75" s="7">
        <v>-0.114</v>
      </c>
      <c r="S75" s="12" t="s">
        <v>153</v>
      </c>
      <c r="T75" s="20" t="s">
        <v>158</v>
      </c>
      <c r="U75" s="4" t="s">
        <v>162</v>
      </c>
    </row>
    <row r="76" spans="1:23">
      <c r="A76" s="8" t="s">
        <v>132</v>
      </c>
      <c r="B76" s="8" t="s">
        <v>216</v>
      </c>
      <c r="C76" s="8">
        <v>3.75</v>
      </c>
      <c r="D76" s="8">
        <v>3.76</v>
      </c>
      <c r="E76" s="19">
        <v>3.6</v>
      </c>
      <c r="F76" s="8">
        <v>3.77</v>
      </c>
      <c r="G76" s="8">
        <v>3.59</v>
      </c>
      <c r="H76" s="8">
        <v>3.59</v>
      </c>
      <c r="I76" s="8">
        <v>3.6</v>
      </c>
      <c r="J76" s="8">
        <v>201900.6</v>
      </c>
      <c r="K76" s="8">
        <v>7413.6</v>
      </c>
      <c r="M76" s="9">
        <v>-4.2599999999999999E-2</v>
      </c>
      <c r="N76" s="9">
        <v>5.0099999999999999E-2</v>
      </c>
      <c r="O76" s="8"/>
      <c r="P76" s="8"/>
      <c r="Q76" s="8">
        <v>3.97</v>
      </c>
      <c r="R76" s="9">
        <v>-0.1056</v>
      </c>
      <c r="S76" s="13" t="s">
        <v>154</v>
      </c>
      <c r="T76" s="16" t="s">
        <v>157</v>
      </c>
      <c r="U76" s="4">
        <v>4.0599999999999996</v>
      </c>
      <c r="V76" s="4">
        <v>20110812</v>
      </c>
      <c r="W76" s="4" t="s">
        <v>163</v>
      </c>
    </row>
    <row r="77" spans="1:23">
      <c r="A77" s="6">
        <v>1</v>
      </c>
      <c r="B77" s="6" t="s">
        <v>204</v>
      </c>
      <c r="C77" s="6"/>
      <c r="D77" s="6"/>
      <c r="E77" s="6"/>
      <c r="F77" s="6"/>
      <c r="G77" s="6"/>
      <c r="H77" s="6"/>
      <c r="I77" s="6"/>
      <c r="J77" s="6"/>
      <c r="K77" s="6"/>
      <c r="M77" s="7"/>
      <c r="N77" s="7"/>
      <c r="O77" s="6"/>
      <c r="P77" s="6"/>
      <c r="Q77" s="6"/>
      <c r="R77" s="7"/>
      <c r="S77" s="12"/>
    </row>
    <row r="78" spans="1:23">
      <c r="A78" s="8" t="s">
        <v>155</v>
      </c>
      <c r="B78" s="8" t="s">
        <v>217</v>
      </c>
      <c r="C78" s="8">
        <v>6.31</v>
      </c>
      <c r="D78" s="8">
        <v>6.41</v>
      </c>
      <c r="E78" s="19">
        <v>6.24</v>
      </c>
      <c r="F78" s="8">
        <v>6.49</v>
      </c>
      <c r="G78" s="8">
        <v>6.21</v>
      </c>
      <c r="H78" s="8">
        <v>6.23</v>
      </c>
      <c r="I78" s="8">
        <v>6.24</v>
      </c>
      <c r="J78" s="8">
        <v>100158.2</v>
      </c>
      <c r="K78" s="8">
        <v>6382.7</v>
      </c>
      <c r="M78" s="9">
        <v>-2.6499999999999999E-2</v>
      </c>
      <c r="N78" s="9">
        <v>4.5100000000000001E-2</v>
      </c>
      <c r="O78" s="8"/>
      <c r="P78" s="8"/>
      <c r="Q78" s="8">
        <v>6.11</v>
      </c>
      <c r="R78" s="9">
        <v>1.83E-2</v>
      </c>
      <c r="S78" s="13" t="s">
        <v>156</v>
      </c>
      <c r="T78" s="16" t="s">
        <v>157</v>
      </c>
      <c r="U78" s="4">
        <v>6.57</v>
      </c>
      <c r="V78" s="4">
        <v>20110812</v>
      </c>
    </row>
    <row r="79" spans="1:23">
      <c r="A79" s="6" t="s">
        <v>139</v>
      </c>
      <c r="B79" s="6" t="s">
        <v>204</v>
      </c>
      <c r="C79" s="6"/>
      <c r="D79" s="6"/>
      <c r="E79" s="6"/>
      <c r="F79" s="6"/>
      <c r="G79" s="6"/>
      <c r="H79" s="6"/>
      <c r="I79" s="6"/>
      <c r="J79" s="6"/>
      <c r="K79" s="6"/>
      <c r="M79" s="7"/>
      <c r="N79" s="6"/>
      <c r="O79" s="6"/>
      <c r="P79" s="6"/>
      <c r="Q79" s="6"/>
      <c r="R79" s="6"/>
      <c r="S79" s="6"/>
    </row>
    <row r="80" spans="1:23" ht="29.45" customHeight="1">
      <c r="A80" s="8" t="s">
        <v>143</v>
      </c>
      <c r="B80" s="8" t="s">
        <v>210</v>
      </c>
      <c r="C80" s="8">
        <v>1.83</v>
      </c>
      <c r="D80" s="8">
        <v>1.83</v>
      </c>
      <c r="E80" s="19">
        <v>1.81</v>
      </c>
      <c r="F80" s="8">
        <v>1.85</v>
      </c>
      <c r="G80" s="8">
        <v>1.81</v>
      </c>
      <c r="H80" s="8">
        <v>1.81</v>
      </c>
      <c r="I80" s="8">
        <v>1.82</v>
      </c>
      <c r="J80" s="8">
        <v>325004.09999999998</v>
      </c>
      <c r="K80" s="8">
        <v>5936.7</v>
      </c>
      <c r="M80" s="9">
        <v>-1.09E-2</v>
      </c>
      <c r="N80" s="9">
        <v>2.2100000000000002E-2</v>
      </c>
      <c r="O80" s="8"/>
      <c r="P80" s="8"/>
      <c r="Q80" s="8">
        <v>3.17</v>
      </c>
      <c r="R80" s="9">
        <v>-0.75590000000000002</v>
      </c>
      <c r="S80" s="8">
        <v>3000</v>
      </c>
      <c r="T80" s="16">
        <f>3000*Q80*R80</f>
        <v>-7188.6090000000004</v>
      </c>
    </row>
    <row r="81" spans="1:20">
      <c r="A81" s="6" t="s">
        <v>127</v>
      </c>
      <c r="B81" s="6" t="s">
        <v>211</v>
      </c>
      <c r="C81" s="6">
        <v>3.83</v>
      </c>
      <c r="D81" s="6">
        <v>3.83</v>
      </c>
      <c r="E81" s="19">
        <v>3.78</v>
      </c>
      <c r="F81" s="6">
        <v>3.84</v>
      </c>
      <c r="G81" s="6">
        <v>3.78</v>
      </c>
      <c r="H81" s="6">
        <v>3.78</v>
      </c>
      <c r="I81" s="6">
        <v>3.79</v>
      </c>
      <c r="J81" s="6">
        <v>65565.8</v>
      </c>
      <c r="K81" s="6">
        <v>2496.3000000000002</v>
      </c>
      <c r="M81" s="7">
        <v>-1.3100000000000001E-2</v>
      </c>
      <c r="N81" s="7">
        <v>1.5900000000000001E-2</v>
      </c>
      <c r="O81" s="6"/>
      <c r="P81" s="6"/>
      <c r="Q81" s="6">
        <v>6.2</v>
      </c>
      <c r="R81" s="7">
        <v>-0.64449999999999996</v>
      </c>
      <c r="S81" s="12" t="s">
        <v>142</v>
      </c>
      <c r="T81" s="16">
        <f>1500*Q81*R81</f>
        <v>-5993.8499999999995</v>
      </c>
    </row>
    <row r="82" spans="1:20">
      <c r="A82" s="8" t="s">
        <v>140</v>
      </c>
      <c r="B82" s="8" t="s">
        <v>204</v>
      </c>
      <c r="C82" s="8"/>
      <c r="D82" s="8"/>
      <c r="E82" s="8"/>
      <c r="F82" s="8"/>
      <c r="G82" s="8"/>
      <c r="H82" s="8"/>
      <c r="I82" s="8"/>
      <c r="J82" s="8"/>
      <c r="K82" s="8"/>
      <c r="M82" s="9"/>
      <c r="N82" s="8"/>
      <c r="O82" s="8"/>
      <c r="P82" s="8"/>
      <c r="Q82" s="8"/>
      <c r="R82" s="8"/>
      <c r="S82" s="8"/>
    </row>
    <row r="83" spans="1:20">
      <c r="A83" s="6" t="s">
        <v>143</v>
      </c>
      <c r="B83" s="6" t="s">
        <v>210</v>
      </c>
      <c r="C83" s="6">
        <v>1.83</v>
      </c>
      <c r="D83" s="6">
        <v>1.83</v>
      </c>
      <c r="E83" s="19">
        <v>1.81</v>
      </c>
      <c r="F83" s="6">
        <v>1.85</v>
      </c>
      <c r="G83" s="6">
        <v>1.81</v>
      </c>
      <c r="H83" s="6">
        <v>1.81</v>
      </c>
      <c r="I83" s="6">
        <v>1.82</v>
      </c>
      <c r="J83" s="6">
        <v>325004.09999999998</v>
      </c>
      <c r="K83" s="6">
        <v>5936.7</v>
      </c>
      <c r="M83" s="7">
        <v>-1.09E-2</v>
      </c>
      <c r="N83" s="7">
        <v>2.2100000000000002E-2</v>
      </c>
      <c r="O83" s="6"/>
      <c r="P83" s="6"/>
      <c r="Q83" s="6">
        <v>3.17</v>
      </c>
      <c r="R83" s="7">
        <v>-0.75590000000000002</v>
      </c>
      <c r="S83" s="6">
        <v>10000</v>
      </c>
      <c r="T83" s="16">
        <f>10000*Q83*R83</f>
        <v>-23962.03</v>
      </c>
    </row>
    <row r="84" spans="1:20">
      <c r="A84" s="8" t="s">
        <v>127</v>
      </c>
      <c r="B84" s="8" t="s">
        <v>211</v>
      </c>
      <c r="C84" s="8">
        <v>3.83</v>
      </c>
      <c r="D84" s="8">
        <v>3.83</v>
      </c>
      <c r="E84" s="19">
        <v>3.78</v>
      </c>
      <c r="F84" s="8">
        <v>3.84</v>
      </c>
      <c r="G84" s="8">
        <v>3.78</v>
      </c>
      <c r="H84" s="8">
        <v>3.78</v>
      </c>
      <c r="I84" s="8">
        <v>3.79</v>
      </c>
      <c r="J84" s="8">
        <v>65565.8</v>
      </c>
      <c r="K84" s="8">
        <v>2496.3000000000002</v>
      </c>
      <c r="M84" s="9">
        <v>-1.3100000000000001E-2</v>
      </c>
      <c r="N84" s="9">
        <v>1.5900000000000001E-2</v>
      </c>
      <c r="O84" s="8"/>
      <c r="P84" s="8"/>
      <c r="Q84" s="8">
        <v>6.2</v>
      </c>
      <c r="R84" s="9">
        <v>-0.64449999999999996</v>
      </c>
      <c r="S84" s="13" t="s">
        <v>141</v>
      </c>
      <c r="T84" s="16">
        <f>5000*Q84*R84</f>
        <v>-19979.5</v>
      </c>
    </row>
  </sheetData>
  <sortState ref="A3:S38">
    <sortCondition ref="P3:P38"/>
  </sortState>
  <phoneticPr fontId="1" type="noConversion"/>
  <conditionalFormatting sqref="C1:C1048576 E1:I1048576">
    <cfRule type="cellIs" dxfId="91" priority="96" operator="lessThan">
      <formula>$D1</formula>
    </cfRule>
    <cfRule type="cellIs" dxfId="90" priority="97" operator="greaterThanOrEqual">
      <formula>$D1</formula>
    </cfRule>
  </conditionalFormatting>
  <conditionalFormatting sqref="M1:M1048576">
    <cfRule type="cellIs" dxfId="89" priority="94" operator="lessThan">
      <formula>0</formula>
    </cfRule>
    <cfRule type="cellIs" dxfId="88" priority="95" operator="greaterThanOrEqual">
      <formula>0</formula>
    </cfRule>
  </conditionalFormatting>
  <conditionalFormatting sqref="N1:N1048576">
    <cfRule type="cellIs" dxfId="87" priority="93" operator="greaterThan">
      <formula>0.1</formula>
    </cfRule>
  </conditionalFormatting>
  <conditionalFormatting sqref="A2:XFD2">
    <cfRule type="notContainsBlanks" dxfId="86" priority="92">
      <formula>LEN(TRIM(A2))&gt;0</formula>
    </cfRule>
  </conditionalFormatting>
  <conditionalFormatting sqref="M80:S80 S79:S82 S50:S57 M1:S49 M59:S59 M52:S57 M83:S1048576 M50:R82 A1:K1048576">
    <cfRule type="expression" dxfId="85" priority="104">
      <formula>CELL("row")=ROW()</formula>
    </cfRule>
    <cfRule type="expression" dxfId="84" priority="105">
      <formula>NOT(ISBLANK($A1))</formula>
    </cfRule>
  </conditionalFormatting>
  <conditionalFormatting sqref="A83 A41:A45 A49">
    <cfRule type="expression" dxfId="83" priority="89">
      <formula>CELL("row")=ROW()</formula>
    </cfRule>
    <cfRule type="expression" dxfId="82" priority="90">
      <formula>NOT(ISBLANK($C41))</formula>
    </cfRule>
  </conditionalFormatting>
  <conditionalFormatting sqref="A44:A45">
    <cfRule type="expression" dxfId="81" priority="85">
      <formula>CELL("row")=ROW()</formula>
    </cfRule>
    <cfRule type="expression" dxfId="80" priority="86">
      <formula>NOT(ISBLANK($C44))</formula>
    </cfRule>
  </conditionalFormatting>
  <conditionalFormatting sqref="A46">
    <cfRule type="expression" dxfId="79" priority="83">
      <formula>CELL("row")=ROW()</formula>
    </cfRule>
    <cfRule type="expression" dxfId="78" priority="84">
      <formula>NOT(ISBLANK($C46))</formula>
    </cfRule>
  </conditionalFormatting>
  <conditionalFormatting sqref="A47:A48 A50:A57">
    <cfRule type="expression" dxfId="77" priority="81">
      <formula>CELL("row")=ROW()</formula>
    </cfRule>
    <cfRule type="expression" dxfId="76" priority="82">
      <formula>NOT(ISBLANK($C47))</formula>
    </cfRule>
  </conditionalFormatting>
  <conditionalFormatting sqref="A58:A59">
    <cfRule type="expression" dxfId="75" priority="79">
      <formula>CELL("row")=ROW()</formula>
    </cfRule>
    <cfRule type="expression" dxfId="74" priority="80">
      <formula>NOT(ISBLANK($C58))</formula>
    </cfRule>
  </conditionalFormatting>
  <conditionalFormatting sqref="A60:A63">
    <cfRule type="expression" dxfId="73" priority="77">
      <formula>CELL("row")=ROW()</formula>
    </cfRule>
    <cfRule type="expression" dxfId="72" priority="78">
      <formula>NOT(ISBLANK($C60))</formula>
    </cfRule>
  </conditionalFormatting>
  <conditionalFormatting sqref="A64:A66">
    <cfRule type="expression" dxfId="71" priority="75">
      <formula>CELL("row")=ROW()</formula>
    </cfRule>
    <cfRule type="expression" dxfId="70" priority="76">
      <formula>NOT(ISBLANK($C64))</formula>
    </cfRule>
  </conditionalFormatting>
  <conditionalFormatting sqref="A67:A71">
    <cfRule type="expression" dxfId="69" priority="73">
      <formula>CELL("row")=ROW()</formula>
    </cfRule>
    <cfRule type="expression" dxfId="68" priority="74">
      <formula>NOT(ISBLANK($C67))</formula>
    </cfRule>
  </conditionalFormatting>
  <conditionalFormatting sqref="A72:A75">
    <cfRule type="expression" dxfId="67" priority="71">
      <formula>CELL("row")=ROW()</formula>
    </cfRule>
    <cfRule type="expression" dxfId="66" priority="72">
      <formula>NOT(ISBLANK($C72))</formula>
    </cfRule>
  </conditionalFormatting>
  <conditionalFormatting sqref="A76:A78">
    <cfRule type="expression" dxfId="65" priority="69">
      <formula>CELL("row")=ROW()</formula>
    </cfRule>
    <cfRule type="expression" dxfId="64" priority="70">
      <formula>NOT(ISBLANK($C76))</formula>
    </cfRule>
  </conditionalFormatting>
  <conditionalFormatting sqref="A43">
    <cfRule type="expression" dxfId="63" priority="67">
      <formula>CELL("row")=ROW()</formula>
    </cfRule>
    <cfRule type="expression" dxfId="62" priority="68">
      <formula>NOT(ISBLANK($C43))</formula>
    </cfRule>
  </conditionalFormatting>
  <conditionalFormatting sqref="A43">
    <cfRule type="expression" dxfId="61" priority="65">
      <formula>CELL("row")=ROW()</formula>
    </cfRule>
    <cfRule type="expression" dxfId="60" priority="66">
      <formula>NOT(ISBLANK($C43))</formula>
    </cfRule>
  </conditionalFormatting>
  <conditionalFormatting sqref="Q43">
    <cfRule type="expression" dxfId="59" priority="63">
      <formula>CELL("row")=ROW()</formula>
    </cfRule>
    <cfRule type="expression" dxfId="58" priority="64">
      <formula>NOT(ISBLANK($C43))</formula>
    </cfRule>
  </conditionalFormatting>
  <conditionalFormatting sqref="Q44:Q45">
    <cfRule type="expression" dxfId="57" priority="61">
      <formula>CELL("row")=ROW()</formula>
    </cfRule>
    <cfRule type="expression" dxfId="56" priority="62">
      <formula>NOT(ISBLANK($C46))</formula>
    </cfRule>
  </conditionalFormatting>
  <conditionalFormatting sqref="Q58:Q78">
    <cfRule type="expression" dxfId="55" priority="59">
      <formula>CELL("row")=ROW()</formula>
    </cfRule>
    <cfRule type="expression" dxfId="54" priority="60">
      <formula>NOT(ISBLANK($C58))</formula>
    </cfRule>
  </conditionalFormatting>
  <conditionalFormatting sqref="A81">
    <cfRule type="expression" dxfId="53" priority="57">
      <formula>CELL("row")=ROW()</formula>
    </cfRule>
    <cfRule type="expression" dxfId="52" priority="58">
      <formula>NOT(ISBLANK($C81))</formula>
    </cfRule>
  </conditionalFormatting>
  <conditionalFormatting sqref="Q81">
    <cfRule type="expression" dxfId="51" priority="55">
      <formula>CELL("row")=ROW()</formula>
    </cfRule>
    <cfRule type="expression" dxfId="50" priority="56">
      <formula>NOT(ISBLANK($C81))</formula>
    </cfRule>
  </conditionalFormatting>
  <conditionalFormatting sqref="A84">
    <cfRule type="expression" dxfId="49" priority="53">
      <formula>CELL("row")=ROW()</formula>
    </cfRule>
    <cfRule type="expression" dxfId="48" priority="54">
      <formula>NOT(ISBLANK($C84))</formula>
    </cfRule>
  </conditionalFormatting>
  <conditionalFormatting sqref="Q84">
    <cfRule type="expression" dxfId="47" priority="51">
      <formula>CELL("row")=ROW()</formula>
    </cfRule>
    <cfRule type="expression" dxfId="46" priority="52">
      <formula>NOT(ISBLANK($C84))</formula>
    </cfRule>
  </conditionalFormatting>
  <conditionalFormatting sqref="A80">
    <cfRule type="expression" dxfId="45" priority="49">
      <formula>CELL("row")=ROW()</formula>
    </cfRule>
    <cfRule type="expression" dxfId="44" priority="50">
      <formula>NOT(ISBLANK($C80))</formula>
    </cfRule>
  </conditionalFormatting>
  <conditionalFormatting sqref="A55:A57">
    <cfRule type="expression" dxfId="43" priority="45">
      <formula>CELL("row")=ROW()</formula>
    </cfRule>
    <cfRule type="expression" dxfId="42" priority="46">
      <formula>NOT(ISBLANK($C55))</formula>
    </cfRule>
  </conditionalFormatting>
  <conditionalFormatting sqref="A50:A54">
    <cfRule type="expression" dxfId="41" priority="43">
      <formula>CELL("row")=ROW()</formula>
    </cfRule>
    <cfRule type="expression" dxfId="40" priority="44">
      <formula>NOT(ISBLANK($C50))</formula>
    </cfRule>
  </conditionalFormatting>
  <conditionalFormatting sqref="Q50:Q54">
    <cfRule type="expression" dxfId="39" priority="41">
      <formula>CELL("row")=ROW()</formula>
    </cfRule>
    <cfRule type="expression" dxfId="38" priority="42">
      <formula>NOT(ISBLANK($C50))</formula>
    </cfRule>
  </conditionalFormatting>
  <conditionalFormatting sqref="A62:A63">
    <cfRule type="expression" dxfId="37" priority="37">
      <formula>CELL("row")=ROW()</formula>
    </cfRule>
    <cfRule type="expression" dxfId="36" priority="38">
      <formula>NOT(ISBLANK($C62))</formula>
    </cfRule>
  </conditionalFormatting>
  <conditionalFormatting sqref="A40">
    <cfRule type="expression" dxfId="35" priority="35">
      <formula>CELL("row")=ROW()</formula>
    </cfRule>
    <cfRule type="expression" dxfId="34" priority="36">
      <formula>NOT(ISBLANK($C40))</formula>
    </cfRule>
  </conditionalFormatting>
  <conditionalFormatting sqref="A52:A54">
    <cfRule type="expression" dxfId="33" priority="33">
      <formula>CELL("row")=ROW()</formula>
    </cfRule>
    <cfRule type="expression" dxfId="32" priority="34">
      <formula>NOT(ISBLANK($C52))</formula>
    </cfRule>
  </conditionalFormatting>
  <conditionalFormatting sqref="A61">
    <cfRule type="expression" dxfId="31" priority="31">
      <formula>CELL("row")=ROW()</formula>
    </cfRule>
    <cfRule type="expression" dxfId="30" priority="32">
      <formula>NOT(ISBLANK($C61))</formula>
    </cfRule>
  </conditionalFormatting>
  <conditionalFormatting sqref="A69:A71">
    <cfRule type="expression" dxfId="29" priority="29">
      <formula>CELL("row")=ROW()</formula>
    </cfRule>
    <cfRule type="expression" dxfId="28" priority="30">
      <formula>NOT(ISBLANK($C69))</formula>
    </cfRule>
  </conditionalFormatting>
  <conditionalFormatting sqref="A63">
    <cfRule type="expression" dxfId="27" priority="27">
      <formula>CELL("row")=ROW()</formula>
    </cfRule>
    <cfRule type="expression" dxfId="26" priority="28">
      <formula>NOT(ISBLANK($C63))</formula>
    </cfRule>
  </conditionalFormatting>
  <conditionalFormatting sqref="A66">
    <cfRule type="expression" dxfId="25" priority="25">
      <formula>CELL("row")=ROW()</formula>
    </cfRule>
    <cfRule type="expression" dxfId="24" priority="26">
      <formula>NOT(ISBLANK($C66))</formula>
    </cfRule>
  </conditionalFormatting>
  <conditionalFormatting sqref="A57">
    <cfRule type="expression" dxfId="23" priority="23">
      <formula>CELL("row")=ROW()</formula>
    </cfRule>
    <cfRule type="expression" dxfId="22" priority="24">
      <formula>NOT(ISBLANK($C57))</formula>
    </cfRule>
  </conditionalFormatting>
  <conditionalFormatting sqref="Q57">
    <cfRule type="expression" dxfId="21" priority="21">
      <formula>CELL("row")=ROW()</formula>
    </cfRule>
    <cfRule type="expression" dxfId="20" priority="22">
      <formula>NOT(ISBLANK($C57))</formula>
    </cfRule>
  </conditionalFormatting>
  <conditionalFormatting sqref="A74:A75">
    <cfRule type="expression" dxfId="19" priority="19">
      <formula>CELL("row")=ROW()</formula>
    </cfRule>
    <cfRule type="expression" dxfId="18" priority="20">
      <formula>NOT(ISBLANK($C74))</formula>
    </cfRule>
  </conditionalFormatting>
  <conditionalFormatting sqref="A59">
    <cfRule type="expression" dxfId="17" priority="17">
      <formula>CELL("row")=ROW()</formula>
    </cfRule>
    <cfRule type="expression" dxfId="16" priority="18">
      <formula>NOT(ISBLANK($C59))</formula>
    </cfRule>
  </conditionalFormatting>
  <conditionalFormatting sqref="A59">
    <cfRule type="expression" dxfId="15" priority="15">
      <formula>CELL("row")=ROW()</formula>
    </cfRule>
    <cfRule type="expression" dxfId="14" priority="16">
      <formula>NOT(ISBLANK($C59))</formula>
    </cfRule>
  </conditionalFormatting>
  <conditionalFormatting sqref="A75">
    <cfRule type="expression" dxfId="13" priority="13">
      <formula>CELL("row")=ROW()</formula>
    </cfRule>
    <cfRule type="expression" dxfId="12" priority="14">
      <formula>NOT(ISBLANK($C75))</formula>
    </cfRule>
  </conditionalFormatting>
  <conditionalFormatting sqref="A77:A78">
    <cfRule type="expression" dxfId="11" priority="11">
      <formula>CELL("row")=ROW()</formula>
    </cfRule>
    <cfRule type="expression" dxfId="10" priority="12">
      <formula>NOT(ISBLANK($C77))</formula>
    </cfRule>
  </conditionalFormatting>
  <conditionalFormatting sqref="A78">
    <cfRule type="expression" dxfId="9" priority="9">
      <formula>CELL("row")=ROW()</formula>
    </cfRule>
    <cfRule type="expression" dxfId="8" priority="10">
      <formula>NOT(ISBLANK($C78))</formula>
    </cfRule>
  </conditionalFormatting>
  <conditionalFormatting sqref="A53:A54">
    <cfRule type="expression" dxfId="7" priority="7">
      <formula>CELL("row")=ROW()</formula>
    </cfRule>
    <cfRule type="expression" dxfId="6" priority="8">
      <formula>NOT(ISBLANK($C53))</formula>
    </cfRule>
  </conditionalFormatting>
  <conditionalFormatting sqref="A70:A71">
    <cfRule type="expression" dxfId="5" priority="5">
      <formula>CELL("row")=ROW()</formula>
    </cfRule>
    <cfRule type="expression" dxfId="4" priority="6">
      <formula>NOT(ISBLANK($C70))</formula>
    </cfRule>
  </conditionalFormatting>
  <conditionalFormatting sqref="A54">
    <cfRule type="expression" dxfId="3" priority="3">
      <formula>CELL("row")=ROW()</formula>
    </cfRule>
    <cfRule type="expression" dxfId="2" priority="4">
      <formula>NOT(ISBLANK($C54))</formula>
    </cfRule>
  </conditionalFormatting>
  <conditionalFormatting sqref="A71">
    <cfRule type="expression" dxfId="1" priority="1">
      <formula>CELL("row")=ROW()</formula>
    </cfRule>
    <cfRule type="expression" dxfId="0" priority="2">
      <formula>NOT(ISBLANK($C71))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legacyDrawing r:id="rId2"/>
  <controls>
    <control shapeId="1031" r:id="rId3" name="Check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技术指标</vt:lpstr>
      <vt:lpstr>我的自选</vt:lpstr>
      <vt:lpstr>我的自选!Print_Area</vt:lpstr>
      <vt:lpstr>我的自选!Print_Titles</vt:lpstr>
    </vt:vector>
  </TitlesOfParts>
  <Company>CNB Tec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YIP SIU</dc:creator>
  <cp:lastModifiedBy>dongdong</cp:lastModifiedBy>
  <cp:lastPrinted>2010-01-08T10:43:17Z</cp:lastPrinted>
  <dcterms:created xsi:type="dcterms:W3CDTF">2010-01-08T07:16:44Z</dcterms:created>
  <dcterms:modified xsi:type="dcterms:W3CDTF">2011-12-14T06:48:12Z</dcterms:modified>
</cp:coreProperties>
</file>