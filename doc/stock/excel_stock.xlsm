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5260" windowHeight="9210" activeTab="1"/>
  </bookViews>
  <sheets>
    <sheet name="技术指标" sheetId="2" r:id="rId1"/>
    <sheet name="我的自选" sheetId="1" r:id="rId2"/>
  </sheets>
  <functionGroups/>
  <definedNames>
    <definedName name="_xlnm._FilterDatabase" localSheetId="1" hidden="1">我的自选!$C$2:$K$29</definedName>
    <definedName name="_xlnm.Print_Area" localSheetId="1">我的自选!$A:$S</definedName>
    <definedName name="_xlnm.Print_Titles" localSheetId="1">我的自选!$2:$2</definedName>
  </definedNames>
  <calcPr calcId="125725"/>
</workbook>
</file>

<file path=xl/calcChain.xml><?xml version="1.0" encoding="utf-8"?>
<calcChain xmlns="http://schemas.openxmlformats.org/spreadsheetml/2006/main">
  <c r="AA87" i="1"/>
  <c r="AA82"/>
  <c r="AA75"/>
  <c r="AA71"/>
  <c r="AA65"/>
  <c r="AA63"/>
  <c r="AA58"/>
  <c r="AA53"/>
  <c r="X87"/>
  <c r="X82"/>
  <c r="X75"/>
  <c r="X71"/>
  <c r="X65"/>
  <c r="X63"/>
  <c r="X58"/>
  <c r="X53"/>
  <c r="X51"/>
  <c r="X50"/>
  <c r="X48"/>
  <c r="X47"/>
  <c r="X44"/>
  <c r="X42"/>
  <c r="X41"/>
  <c r="X40"/>
  <c r="U87"/>
  <c r="U42"/>
  <c r="U48"/>
  <c r="U47"/>
  <c r="U44"/>
  <c r="U41"/>
  <c r="U40"/>
  <c r="U90"/>
  <c r="U88"/>
  <c r="U82"/>
  <c r="U75"/>
  <c r="U71"/>
  <c r="U65"/>
  <c r="U63"/>
  <c r="U58"/>
  <c r="U53"/>
  <c r="U51"/>
  <c r="U50"/>
  <c r="Q95"/>
  <c r="T95" s="1"/>
  <c r="Q92"/>
  <c r="T92" s="1"/>
  <c r="T96"/>
  <c r="T93"/>
</calcChain>
</file>

<file path=xl/comments1.xml><?xml version="1.0" encoding="utf-8"?>
<comments xmlns="http://schemas.openxmlformats.org/spreadsheetml/2006/main">
  <authors>
    <author>YIP SIU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应用原则：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>当ＤＩＦ由下向上突破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，形成黄金交叉，既白色的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上穿黄色的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形成的交叉。同时ＢＡＲ（绿柱线）缩短，为买入信号。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宋体"/>
            <family val="3"/>
            <charset val="134"/>
          </rPr>
          <t>当ＤＩＦ由上向下突破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，形成死亡交叉，既白色的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下穿黄色的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形成的交叉。同时ＢＡＲ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红柱线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缩短，为卖出信号。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顶背离：当股价指数逐波升高，而ＤＩＦ及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不是同步上升，而是逐波下降，与股价走势形成顶背离。预示股价即将下跌。如果此时出现ＤＩＦ两次由上向下穿过</t>
        </r>
        <r>
          <rPr>
            <sz val="9"/>
            <color indexed="81"/>
            <rFont val="Tahoma"/>
            <family val="2"/>
          </rPr>
          <t xml:space="preserve"> DEA</t>
        </r>
        <r>
          <rPr>
            <sz val="9"/>
            <color indexed="81"/>
            <rFont val="宋体"/>
            <family val="3"/>
            <charset val="134"/>
          </rPr>
          <t xml:space="preserve">，形成两次死亡交叉，则股价将大幅下跌。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底背离：当股价指数逐波下行，而ＤＩＦ及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不是同步下降，而是逐波上升，与股价走势形成底背离，预示着股价即将上涨。如果此时出现ＤＩＦ两次由下向上穿过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，形成两次黄金交叉，则股价即将大幅度上涨。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指标主要用于对大势中长期的上涨或下跌趋势进行判断，当股价处于盘局或指数波动不明显时，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买卖信号较不明显。当股价在短时间内上下波动较大时，因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 xml:space="preserve">的移动相当缓慢，所以不会立即对股价的变动产生买卖信号。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主要是利用长短期的二条平滑平均线，计算两者之间的差离值，作为研判行情买卖之依据。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指标是基于均线的构造原理，对价格收盘价进行平滑处理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求出算术平均值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后的一种趋向类指标。它主要由两部分组成，即正负差</t>
        </r>
        <r>
          <rPr>
            <sz val="9"/>
            <color indexed="81"/>
            <rFont val="Tahoma"/>
            <family val="2"/>
          </rPr>
          <t>(DIF)</t>
        </r>
        <r>
          <rPr>
            <sz val="9"/>
            <color indexed="81"/>
            <rFont val="宋体"/>
            <family val="3"/>
            <charset val="134"/>
          </rPr>
          <t>、异同平均数</t>
        </r>
        <r>
          <rPr>
            <sz val="9"/>
            <color indexed="81"/>
            <rFont val="Tahoma"/>
            <family val="2"/>
          </rPr>
          <t>(DEA)</t>
        </r>
        <r>
          <rPr>
            <sz val="9"/>
            <color indexed="81"/>
            <rFont val="宋体"/>
            <family val="3"/>
            <charset val="134"/>
          </rPr>
          <t>，其中，正负差是核心，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是辅助。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是快速平滑移动平均线</t>
        </r>
        <r>
          <rPr>
            <sz val="9"/>
            <color indexed="81"/>
            <rFont val="Tahoma"/>
            <family val="2"/>
          </rPr>
          <t>(EMA1)</t>
        </r>
        <r>
          <rPr>
            <sz val="9"/>
            <color indexed="81"/>
            <rFont val="宋体"/>
            <family val="3"/>
            <charset val="134"/>
          </rPr>
          <t>和慢速平滑移动平均线</t>
        </r>
        <r>
          <rPr>
            <sz val="9"/>
            <color indexed="81"/>
            <rFont val="Tahoma"/>
            <family val="2"/>
          </rPr>
          <t>(EMA2)</t>
        </r>
        <r>
          <rPr>
            <sz val="9"/>
            <color indexed="81"/>
            <rFont val="宋体"/>
            <family val="3"/>
            <charset val="134"/>
          </rPr>
          <t>的差。
在现有的技术分析软件中，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常用参数是快速平滑移动平均线为</t>
        </r>
        <r>
          <rPr>
            <sz val="9"/>
            <color indexed="81"/>
            <rFont val="Tahoma"/>
            <family val="2"/>
          </rPr>
          <t>12</t>
        </r>
        <r>
          <rPr>
            <sz val="9"/>
            <color indexed="81"/>
            <rFont val="宋体"/>
            <family val="3"/>
            <charset val="134"/>
          </rPr>
          <t>，慢速平滑移动平均线参数为</t>
        </r>
        <r>
          <rPr>
            <sz val="9"/>
            <color indexed="81"/>
            <rFont val="Tahoma"/>
            <family val="2"/>
          </rPr>
          <t>26</t>
        </r>
        <r>
          <rPr>
            <sz val="9"/>
            <color indexed="81"/>
            <rFont val="宋体"/>
            <family val="3"/>
            <charset val="134"/>
          </rPr>
          <t>。此外，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还有一个辅助指标</t>
        </r>
        <r>
          <rPr>
            <sz val="9"/>
            <color indexed="81"/>
            <rFont val="Tahoma"/>
            <family val="2"/>
          </rPr>
          <t>——</t>
        </r>
        <r>
          <rPr>
            <sz val="9"/>
            <color indexed="81"/>
            <rFont val="宋体"/>
            <family val="3"/>
            <charset val="134"/>
          </rPr>
          <t>柱状线</t>
        </r>
        <r>
          <rPr>
            <sz val="9"/>
            <color indexed="81"/>
            <rFont val="Tahoma"/>
            <family val="2"/>
          </rPr>
          <t>(BAR)</t>
        </r>
        <r>
          <rPr>
            <sz val="9"/>
            <color indexed="81"/>
            <rFont val="宋体"/>
            <family val="3"/>
            <charset val="134"/>
          </rPr>
          <t>。在大多数技术分析软件中，柱状线是有颜色的，在低于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轴以下是绿色，高于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轴以上是红色，前者代表趋势较弱，后者代表趋势较强。
下面我们来说一下使用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指标所应当遵循的基本原则：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轴以上时，属于多头市场，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线时是买入信号。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轴以上运行，仅仅只能视为一次短暂的回落，而不能确定趋势转折，此时是否卖出还需要借助其他指标来综合判断。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轴以下时，属于空头市场。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线时是卖出信号，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轴以下运行，仅仅只能视为一次短暂的反弹，而不能确定趋势转折，此时是否买入还需要借助其他指标来综合判断。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柱状线收缩和放大。一般来说，柱状线的持续收缩表明趋势运行的强度正在逐渐减弱，当柱状线颜色发生改变时，趋势确定转折。但在一些时间周期不长的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指标使用过程中，这一观点并不能完全成立。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形态和背离情况。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指标也强调形态和背离现象。当形态上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线形成高位看跌形态，如头肩顶、双头等，应当保持警惕；而当形态上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>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线形成低位看涨形态时，应考虑进行买入。在判断形态时以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线为主，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线为辅。当价格持续升高，而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指标走出一波比一波低的走势时，意味着顶背离出现，预示着价格将可能在不久之后出现转头下行，当价格持续降低，而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指标却走出一波高于一波的走势时，意味着底背离现象的出现，预示着价格将很快结束下跌，转头上涨。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>牛皮市道中指标将失真。当价格并不是自上而下或者自下而上运行，而是保持水平方向的移动时，我们称之为牛皮市道，此时虚假信号将在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指标中产生，指标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线的交叉将会十分频繁，同时柱状线的收放也将频频出现，颜色也会常常由绿转红或者由红转绿，此时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指标处于失真状态，使用价值相应降低。
用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的曲线形状进行分析，主要是利用指标相背离的原则。具体为：如果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的走向与股价走向相背离，则是采取具体行动的时间。但是，根据以上原则来指导实际操作，准确性并不能令人满意。经过实践、摸索和总结，综合运用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日均价线，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日均量线和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，其准确性大为提高。</t>
        </r>
      </text>
    </comment>
  </commentList>
</comments>
</file>

<file path=xl/sharedStrings.xml><?xml version="1.0" encoding="utf-8"?>
<sst xmlns="http://schemas.openxmlformats.org/spreadsheetml/2006/main" count="331" uniqueCount="240">
  <si>
    <t>股票名称</t>
    <phoneticPr fontId="1" type="noConversion"/>
  </si>
  <si>
    <t>广东</t>
  </si>
  <si>
    <t>山东</t>
  </si>
  <si>
    <t>湖北</t>
  </si>
  <si>
    <t>河北</t>
  </si>
  <si>
    <t>重庆</t>
  </si>
  <si>
    <t>安徽</t>
  </si>
  <si>
    <t>江苏</t>
  </si>
  <si>
    <t>北京</t>
  </si>
  <si>
    <t>深圳</t>
  </si>
  <si>
    <t>新疆</t>
  </si>
  <si>
    <t>山西</t>
  </si>
  <si>
    <t>河南</t>
  </si>
  <si>
    <t>辽宁</t>
  </si>
  <si>
    <t>湖南</t>
  </si>
  <si>
    <t>SZ000926</t>
  </si>
  <si>
    <t>SZ000937</t>
  </si>
  <si>
    <t>SH600418</t>
  </si>
  <si>
    <t>SZ000527</t>
  </si>
  <si>
    <t>SZ002249</t>
  </si>
  <si>
    <t>SZ002165</t>
  </si>
  <si>
    <t>SZ000680</t>
  </si>
  <si>
    <t>SH601169</t>
  </si>
  <si>
    <t>SH600036</t>
  </si>
  <si>
    <t>SH600383</t>
  </si>
  <si>
    <t>SZ000024</t>
  </si>
  <si>
    <t>SH600690</t>
  </si>
  <si>
    <t>SH600359</t>
  </si>
  <si>
    <t>SH600037</t>
  </si>
  <si>
    <t>SH600276</t>
  </si>
  <si>
    <t>SZ000898</t>
  </si>
  <si>
    <t>SH600585</t>
  </si>
  <si>
    <t>SZ000157</t>
  </si>
  <si>
    <t>SZ000338</t>
  </si>
  <si>
    <t>SZ000612</t>
  </si>
  <si>
    <t>SH600875</t>
  </si>
  <si>
    <t>四川</t>
  </si>
  <si>
    <t>SH600718</t>
  </si>
  <si>
    <t>沈阳</t>
  </si>
  <si>
    <t>SZ000063</t>
  </si>
  <si>
    <t>SH600028</t>
  </si>
  <si>
    <t>SH600029</t>
  </si>
  <si>
    <t>SH600016</t>
  </si>
  <si>
    <t>SH600033</t>
  </si>
  <si>
    <t>SZ000627</t>
  </si>
  <si>
    <t>SH600348</t>
  </si>
  <si>
    <t>SZ000625</t>
  </si>
  <si>
    <t>福建</t>
  </si>
  <si>
    <t>成交量</t>
  </si>
  <si>
    <t>成交额</t>
  </si>
  <si>
    <t>WR</t>
    <phoneticPr fontId="4" type="noConversion"/>
  </si>
  <si>
    <t>ARBR</t>
    <phoneticPr fontId="4" type="noConversion"/>
  </si>
  <si>
    <t>名称</t>
    <phoneticPr fontId="4" type="noConversion"/>
  </si>
  <si>
    <t>释义说明</t>
    <phoneticPr fontId="4" type="noConversion"/>
  </si>
  <si>
    <t>MACD</t>
    <phoneticPr fontId="4" type="noConversion"/>
  </si>
  <si>
    <t>Moving Average Convergenceand Divergence称为指数平滑异同移动平均线，是从双移动平均线发展而来的，由快的移动平均线减去慢的移动平均线,MACD的意义和双移动平均线基本相同,但阅读起来更方便。当MACD从负数转向正数，是买的信号。当MACD从正数转向负数，是卖的信号。当MACD以大角度变化，表示快的移动平均线和慢的移动平均线的差距非常迅速的拉开，代表了一个市场大趋势的转变。ＭＡＣＤ是GeralAppel于1979年提出的，它是一项利用短期（常用为12日）移动平均线与长期（常用为26日）移动平均线之间的聚合与分离状况，对买进、卖出时机作出研判的技术指标。</t>
    <phoneticPr fontId="4" type="noConversion"/>
  </si>
  <si>
    <t>KDJ</t>
    <phoneticPr fontId="4" type="noConversion"/>
  </si>
  <si>
    <t>其综合动量观念、强弱指标及移动平均线的优点，早年引用在期货投资方面，功能颇为显著，目前为股市中最常被使用的指标之一。</t>
    <phoneticPr fontId="4" type="noConversion"/>
  </si>
  <si>
    <t>RSI</t>
    <phoneticPr fontId="4" type="noConversion"/>
  </si>
  <si>
    <t>VR</t>
    <phoneticPr fontId="4" type="noConversion"/>
  </si>
  <si>
    <t>OBV</t>
    <phoneticPr fontId="4" type="noConversion"/>
  </si>
  <si>
    <t>ASI</t>
    <phoneticPr fontId="4" type="noConversion"/>
  </si>
  <si>
    <t>BOLL</t>
    <phoneticPr fontId="4" type="noConversion"/>
  </si>
  <si>
    <t>EXPMA</t>
    <phoneticPr fontId="4" type="noConversion"/>
  </si>
  <si>
    <t>DMI</t>
    <phoneticPr fontId="4" type="noConversion"/>
  </si>
  <si>
    <t>VOL</t>
    <phoneticPr fontId="4" type="noConversion"/>
  </si>
  <si>
    <t>涨跌幅</t>
    <phoneticPr fontId="1" type="noConversion"/>
  </si>
  <si>
    <t>买①</t>
    <phoneticPr fontId="1" type="noConversion"/>
  </si>
  <si>
    <t xml:space="preserve"> 卖①</t>
    <phoneticPr fontId="1" type="noConversion"/>
  </si>
  <si>
    <t>开盘</t>
    <phoneticPr fontId="1" type="noConversion"/>
  </si>
  <si>
    <t>昨收</t>
    <phoneticPr fontId="1" type="noConversion"/>
  </si>
  <si>
    <t>成交价</t>
    <phoneticPr fontId="1" type="noConversion"/>
  </si>
  <si>
    <t>最高价</t>
    <phoneticPr fontId="1" type="noConversion"/>
  </si>
  <si>
    <t>最低价</t>
    <phoneticPr fontId="1" type="noConversion"/>
  </si>
  <si>
    <t>振幅</t>
    <phoneticPr fontId="1" type="noConversion"/>
  </si>
  <si>
    <t>SH600970</t>
    <phoneticPr fontId="1" type="noConversion"/>
  </si>
  <si>
    <t>北京</t>
    <phoneticPr fontId="1" type="noConversion"/>
  </si>
  <si>
    <t>制造业 &gt; 工业: 专用设备制造</t>
    <phoneticPr fontId="1" type="noConversion"/>
  </si>
  <si>
    <t>制造业 &gt; 工业: 交通运输设备制造</t>
    <phoneticPr fontId="1" type="noConversion"/>
  </si>
  <si>
    <t>制造业 &gt; 工业: 有色金属冶炼及压延加工</t>
    <phoneticPr fontId="1" type="noConversion"/>
  </si>
  <si>
    <t>制造业 &gt; 工业: 黑色金属冶炼及压延加工</t>
    <phoneticPr fontId="1" type="noConversion"/>
  </si>
  <si>
    <t>制造业 &gt; 工业: 电器机械及器材制造</t>
    <phoneticPr fontId="1" type="noConversion"/>
  </si>
  <si>
    <t>制造业 &gt; 工业: 化学原料及化学制品制造</t>
    <phoneticPr fontId="1" type="noConversion"/>
  </si>
  <si>
    <t>制造业 &gt; 工业: 化学原料及化学制品制造</t>
    <phoneticPr fontId="1" type="noConversion"/>
  </si>
  <si>
    <t>传播与文化产业 &gt; 工业: 信息传播服务</t>
    <phoneticPr fontId="1" type="noConversion"/>
  </si>
  <si>
    <t>建筑业 &gt; 工业: 土木工程建筑</t>
    <phoneticPr fontId="1" type="noConversion"/>
  </si>
  <si>
    <t>制造业 &gt; 工业: 医药制造</t>
    <phoneticPr fontId="1" type="noConversion"/>
  </si>
  <si>
    <t>农、林、牧、渔业 &gt; 工业: 种植</t>
    <phoneticPr fontId="1" type="noConversion"/>
  </si>
  <si>
    <t>制造业 &gt; 工业: 电器机械及器材制造</t>
    <phoneticPr fontId="1" type="noConversion"/>
  </si>
  <si>
    <t>交通运输、仓储业 &gt; 工业: 航空运输</t>
    <phoneticPr fontId="1" type="noConversion"/>
  </si>
  <si>
    <t>交通运输、仓储业 &gt; 工业: 公路运输</t>
    <phoneticPr fontId="1" type="noConversion"/>
  </si>
  <si>
    <t>采掘业 &gt; 工业: 煤炭采选</t>
    <phoneticPr fontId="1" type="noConversion"/>
  </si>
  <si>
    <t>采掘业 &gt; 工业: 煤炭采选</t>
    <phoneticPr fontId="1" type="noConversion"/>
  </si>
  <si>
    <t>采掘业 &gt; 工业: 石油和天然气开采</t>
    <phoneticPr fontId="1" type="noConversion"/>
  </si>
  <si>
    <t>信息技术业 &gt; 工业: 通信及相关设备制造</t>
    <phoneticPr fontId="1" type="noConversion"/>
  </si>
  <si>
    <t>信息技术业 &gt; 工业: 计算机应用服务</t>
    <phoneticPr fontId="1" type="noConversion"/>
  </si>
  <si>
    <t>金融、保险业 &gt; 工业: 银行</t>
    <phoneticPr fontId="1" type="noConversion"/>
  </si>
  <si>
    <t>金融、保险业 &gt; 工业: 其他商业银行</t>
    <phoneticPr fontId="1" type="noConversion"/>
  </si>
  <si>
    <t>制造业 &gt; 工业: 汽车制造</t>
    <phoneticPr fontId="1" type="noConversion"/>
  </si>
  <si>
    <t>制造业 &gt; 工业: 水泥制造</t>
    <phoneticPr fontId="1" type="noConversion"/>
  </si>
  <si>
    <t>房地产业 &gt; 工业: 房地产开发与经营</t>
    <phoneticPr fontId="1" type="noConversion"/>
  </si>
  <si>
    <t>SH600894</t>
    <phoneticPr fontId="1" type="noConversion"/>
  </si>
  <si>
    <t>制造业 &gt; 工业: 黑色金属冶炼及压延加工</t>
    <phoneticPr fontId="1" type="noConversion"/>
  </si>
  <si>
    <t>5-17：STK论坛RS推荐18.5以下买进。</t>
    <phoneticPr fontId="1" type="noConversion"/>
  </si>
  <si>
    <t>SH601328</t>
    <phoneticPr fontId="1" type="noConversion"/>
  </si>
  <si>
    <t>金融、保险业 &gt; 工业: 银行</t>
    <phoneticPr fontId="1" type="noConversion"/>
  </si>
  <si>
    <t>金融、保险业 &gt; 工业: 银行</t>
    <phoneticPr fontId="1" type="noConversion"/>
  </si>
  <si>
    <t>SZ000001</t>
    <phoneticPr fontId="1" type="noConversion"/>
  </si>
  <si>
    <t>SH600000</t>
    <phoneticPr fontId="1" type="noConversion"/>
  </si>
  <si>
    <t>金融、保险业 &gt; 工业: 银行</t>
  </si>
  <si>
    <t>待完善……</t>
    <phoneticPr fontId="4" type="noConversion"/>
  </si>
  <si>
    <t>SH600172</t>
    <phoneticPr fontId="1" type="noConversion"/>
  </si>
  <si>
    <t>[股票
代码]</t>
    <phoneticPr fontId="1" type="noConversion"/>
  </si>
  <si>
    <t>[所属
地区]</t>
    <phoneticPr fontId="1" type="noConversion"/>
  </si>
  <si>
    <t>[所属
行业]</t>
    <phoneticPr fontId="1" type="noConversion"/>
  </si>
  <si>
    <t>[委托价]</t>
    <phoneticPr fontId="1" type="noConversion"/>
  </si>
  <si>
    <t>[投资日志]</t>
    <phoneticPr fontId="1" type="noConversion"/>
  </si>
  <si>
    <t>河南</t>
    <phoneticPr fontId="1" type="noConversion"/>
  </si>
  <si>
    <t>制造业 &gt; 工业: 非金属矿物制品</t>
    <phoneticPr fontId="1" type="noConversion"/>
  </si>
  <si>
    <t>上海</t>
    <phoneticPr fontId="1" type="noConversion"/>
  </si>
  <si>
    <t>5-21:买入</t>
    <phoneticPr fontId="1" type="noConversion"/>
  </si>
  <si>
    <t>盈亏
比率</t>
    <phoneticPr fontId="1" type="noConversion"/>
  </si>
  <si>
    <t>SZ002258</t>
    <phoneticPr fontId="1" type="noConversion"/>
  </si>
  <si>
    <t>sz000976</t>
    <phoneticPr fontId="1" type="noConversion"/>
  </si>
  <si>
    <t>sh601866</t>
    <phoneticPr fontId="1" type="noConversion"/>
  </si>
  <si>
    <t>sh600035</t>
    <phoneticPr fontId="1" type="noConversion"/>
  </si>
  <si>
    <t>sz000488</t>
    <phoneticPr fontId="1" type="noConversion"/>
  </si>
  <si>
    <t>sh600115</t>
    <phoneticPr fontId="1" type="noConversion"/>
  </si>
  <si>
    <t>sh600196</t>
    <phoneticPr fontId="1" type="noConversion"/>
  </si>
  <si>
    <t>sh600509</t>
    <phoneticPr fontId="1" type="noConversion"/>
  </si>
  <si>
    <t>sh600635</t>
    <phoneticPr fontId="1" type="noConversion"/>
  </si>
  <si>
    <t>sh600978</t>
    <phoneticPr fontId="1" type="noConversion"/>
  </si>
  <si>
    <t>sh601106</t>
    <phoneticPr fontId="1" type="noConversion"/>
  </si>
  <si>
    <t>20110324, B, 600115, 200, 6.31</t>
  </si>
  <si>
    <t>20110407, B, 601106, 200, 5.69</t>
  </si>
  <si>
    <t>jie</t>
    <phoneticPr fontId="1" type="noConversion"/>
  </si>
  <si>
    <t>gaofang</t>
    <phoneticPr fontId="1" type="noConversion"/>
  </si>
  <si>
    <t>20110509, B, 600115,5000, 6.2</t>
    <phoneticPr fontId="1" type="noConversion"/>
  </si>
  <si>
    <t>20110509, B, 600115, 1500, 6.2</t>
    <phoneticPr fontId="1" type="noConversion"/>
  </si>
  <si>
    <t>sz000725</t>
    <phoneticPr fontId="1" type="noConversion"/>
  </si>
  <si>
    <t>sh600403</t>
    <phoneticPr fontId="1" type="noConversion"/>
  </si>
  <si>
    <t>sh600456</t>
    <phoneticPr fontId="1" type="noConversion"/>
  </si>
  <si>
    <t>sh600237</t>
    <phoneticPr fontId="1" type="noConversion"/>
  </si>
  <si>
    <t>20110516, B, 600509, 100, 13.3</t>
    <phoneticPr fontId="1" type="noConversion"/>
  </si>
  <si>
    <t>20110407, B, 600456, 300, 27.42</t>
    <phoneticPr fontId="1" type="noConversion"/>
  </si>
  <si>
    <t>20110518, B, 600978, 200, 6.55</t>
    <phoneticPr fontId="1" type="noConversion"/>
  </si>
  <si>
    <t>20110811, B, 601106, 100, 3.97</t>
    <phoneticPr fontId="1" type="noConversion"/>
  </si>
  <si>
    <t>sh600260</t>
    <phoneticPr fontId="1" type="noConversion"/>
  </si>
  <si>
    <t>20110815, S, 000725, 36000, 2.55</t>
    <phoneticPr fontId="1" type="noConversion"/>
  </si>
  <si>
    <t>sh600299</t>
    <phoneticPr fontId="1" type="noConversion"/>
  </si>
  <si>
    <t>20110812, S, 600978, 100, 5.37</t>
    <phoneticPr fontId="1" type="noConversion"/>
  </si>
  <si>
    <t>20110509, B, 000726, 3600, 3.17</t>
    <phoneticPr fontId="1" type="noConversion"/>
  </si>
  <si>
    <t>20110517, B, 000726, 3600, 3.25</t>
    <phoneticPr fontId="1" type="noConversion"/>
  </si>
  <si>
    <t>20110817, B, 000725, 36000, 2.57</t>
    <phoneticPr fontId="1" type="noConversion"/>
  </si>
  <si>
    <t>20110810, B, 600115, 100, 5.17</t>
    <phoneticPr fontId="1" type="noConversion"/>
  </si>
  <si>
    <t>20110812, S, 600115, 100, 5.53</t>
    <phoneticPr fontId="1" type="noConversion"/>
  </si>
  <si>
    <t>20110812, S, 600509, 100, 10.04</t>
    <phoneticPr fontId="1" type="noConversion"/>
  </si>
  <si>
    <t>20110810, B, 600509, 100, 9.76</t>
    <phoneticPr fontId="1" type="noConversion"/>
  </si>
  <si>
    <t>20110412, B, 600635, 200, 7.10</t>
    <phoneticPr fontId="1" type="noConversion"/>
  </si>
  <si>
    <t>20110810, B, 600635, 100, 5.00</t>
    <phoneticPr fontId="1" type="noConversion"/>
  </si>
  <si>
    <t>20110812, S, 600635, 100, 5.13</t>
    <phoneticPr fontId="1" type="noConversion"/>
  </si>
  <si>
    <t>20111103, B, 600978, 100,5.08</t>
    <phoneticPr fontId="1" type="noConversion"/>
  </si>
  <si>
    <t>20111103, B, 600978, 100,5.01</t>
    <phoneticPr fontId="1" type="noConversion"/>
  </si>
  <si>
    <t>20110812, S, 601106, 100, 3.97</t>
    <phoneticPr fontId="1" type="noConversion"/>
  </si>
  <si>
    <t>20110810, B, 601106, 100, 4.00</t>
    <phoneticPr fontId="1" type="noConversion"/>
  </si>
  <si>
    <t>可卖</t>
    <phoneticPr fontId="1" type="noConversion"/>
  </si>
  <si>
    <r>
      <t>20110811, B, 601106, 100, 6.11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Arial"/>
        <family val="2"/>
        <charset val="134"/>
      </rPr>
      <t xml:space="preserve"> </t>
    </r>
    <r>
      <rPr>
        <sz val="9"/>
        <color theme="1"/>
        <rFont val="宋体"/>
        <family val="3"/>
        <charset val="134"/>
      </rPr>
      <t>已卖</t>
    </r>
    <phoneticPr fontId="1" type="noConversion"/>
  </si>
  <si>
    <t>等卖</t>
    <phoneticPr fontId="1" type="noConversion"/>
  </si>
  <si>
    <t>20111104, B, 600509, 100, 9.87</t>
    <phoneticPr fontId="1" type="noConversion"/>
  </si>
  <si>
    <t>最低</t>
    <phoneticPr fontId="1" type="noConversion"/>
  </si>
  <si>
    <t>最低%</t>
    <phoneticPr fontId="1" type="noConversion"/>
  </si>
  <si>
    <t>sh600683</t>
    <phoneticPr fontId="1" type="noConversion"/>
  </si>
  <si>
    <t>阳泉煤业</t>
    <phoneticPr fontId="1" type="noConversion"/>
  </si>
  <si>
    <t>20111031, B, 600299 100, 10.00</t>
    <phoneticPr fontId="1" type="noConversion"/>
  </si>
  <si>
    <t>20111201, B, 600299  30,  9.40</t>
    <phoneticPr fontId="1" type="noConversion"/>
  </si>
  <si>
    <t>20111123, B, 600978, 100,4.68</t>
    <phoneticPr fontId="1" type="noConversion"/>
  </si>
  <si>
    <t>20110422, B, 600978, 200, 6.18</t>
    <phoneticPr fontId="1" type="noConversion"/>
  </si>
  <si>
    <t>20110415, B, 600509, 100, 12.72</t>
    <phoneticPr fontId="1" type="noConversion"/>
  </si>
  <si>
    <t>20110408, B, 600196, 100, 11.99</t>
    <phoneticPr fontId="1" type="noConversion"/>
  </si>
  <si>
    <t>20111123, B, 600115, 100, 4.49</t>
    <phoneticPr fontId="1" type="noConversion"/>
  </si>
  <si>
    <t>冀中能源</t>
    <phoneticPr fontId="1" type="noConversion"/>
  </si>
  <si>
    <t>中国石化</t>
    <phoneticPr fontId="1" type="noConversion"/>
  </si>
  <si>
    <t>歌华有线</t>
    <phoneticPr fontId="1" type="noConversion"/>
  </si>
  <si>
    <t>金地集团</t>
    <phoneticPr fontId="1" type="noConversion"/>
  </si>
  <si>
    <t>招商地产</t>
    <phoneticPr fontId="1" type="noConversion"/>
  </si>
  <si>
    <t>福星股份</t>
    <phoneticPr fontId="1" type="noConversion"/>
  </si>
  <si>
    <t>中材国际</t>
    <phoneticPr fontId="1" type="noConversion"/>
  </si>
  <si>
    <t>福建高速</t>
    <phoneticPr fontId="1" type="noConversion"/>
  </si>
  <si>
    <t>南方航空</t>
    <phoneticPr fontId="1" type="noConversion"/>
  </si>
  <si>
    <t>招商银行</t>
    <phoneticPr fontId="1" type="noConversion"/>
  </si>
  <si>
    <t>浦发银行</t>
    <phoneticPr fontId="1" type="noConversion"/>
  </si>
  <si>
    <t>民生银行</t>
    <phoneticPr fontId="1" type="noConversion"/>
  </si>
  <si>
    <t>北京银行</t>
    <phoneticPr fontId="1" type="noConversion"/>
  </si>
  <si>
    <t>交通银行</t>
    <phoneticPr fontId="1" type="noConversion"/>
  </si>
  <si>
    <t>深发展Ａ</t>
    <phoneticPr fontId="1" type="noConversion"/>
  </si>
  <si>
    <t>新农开发</t>
    <phoneticPr fontId="1" type="noConversion"/>
  </si>
  <si>
    <t>东软集团</t>
    <phoneticPr fontId="1" type="noConversion"/>
  </si>
  <si>
    <t>中兴通讯</t>
    <phoneticPr fontId="1" type="noConversion"/>
  </si>
  <si>
    <t>青岛海尔</t>
    <phoneticPr fontId="1" type="noConversion"/>
  </si>
  <si>
    <t>东方电气</t>
    <phoneticPr fontId="1" type="noConversion"/>
  </si>
  <si>
    <t>美的电器</t>
    <phoneticPr fontId="1" type="noConversion"/>
  </si>
  <si>
    <t>大洋电机</t>
    <phoneticPr fontId="1" type="noConversion"/>
  </si>
  <si>
    <t>黄河旋风</t>
    <phoneticPr fontId="1" type="noConversion"/>
  </si>
  <si>
    <t>广钢股份</t>
    <phoneticPr fontId="1" type="noConversion"/>
  </si>
  <si>
    <t>鞍钢股份</t>
    <phoneticPr fontId="1" type="noConversion"/>
  </si>
  <si>
    <t>天茂集团</t>
    <phoneticPr fontId="1" type="noConversion"/>
  </si>
  <si>
    <t>红 宝 丽</t>
    <phoneticPr fontId="1" type="noConversion"/>
  </si>
  <si>
    <t>潍柴动力</t>
    <phoneticPr fontId="1" type="noConversion"/>
  </si>
  <si>
    <t>长安汽车</t>
    <phoneticPr fontId="1" type="noConversion"/>
  </si>
  <si>
    <t>江淮汽车</t>
    <phoneticPr fontId="1" type="noConversion"/>
  </si>
  <si>
    <t>海螺水泥</t>
    <phoneticPr fontId="1" type="noConversion"/>
  </si>
  <si>
    <t>恒瑞医药</t>
    <phoneticPr fontId="1" type="noConversion"/>
  </si>
  <si>
    <t>焦作万方</t>
    <phoneticPr fontId="1" type="noConversion"/>
  </si>
  <si>
    <t>中联重科</t>
    <phoneticPr fontId="1" type="noConversion"/>
  </si>
  <si>
    <t>山推股份</t>
    <phoneticPr fontId="1" type="noConversion"/>
  </si>
  <si>
    <t>利尔化学</t>
    <phoneticPr fontId="1" type="noConversion"/>
  </si>
  <si>
    <t>铜峰电子</t>
    <phoneticPr fontId="1" type="noConversion"/>
  </si>
  <si>
    <t>春晖股份</t>
    <phoneticPr fontId="1" type="noConversion"/>
  </si>
  <si>
    <t>京投银泰</t>
    <phoneticPr fontId="1" type="noConversion"/>
  </si>
  <si>
    <t xml:space="preserve">      </t>
    <phoneticPr fontId="1" type="noConversion"/>
  </si>
  <si>
    <t>中海集运</t>
    <phoneticPr fontId="1" type="noConversion"/>
  </si>
  <si>
    <t>楚天高速</t>
    <phoneticPr fontId="1" type="noConversion"/>
  </si>
  <si>
    <t>晨鸣纸业</t>
    <phoneticPr fontId="1" type="noConversion"/>
  </si>
  <si>
    <t>宝钛股份</t>
    <phoneticPr fontId="1" type="noConversion"/>
  </si>
  <si>
    <t>大有能源</t>
    <phoneticPr fontId="1" type="noConversion"/>
  </si>
  <si>
    <t>京东方Ａ</t>
    <phoneticPr fontId="1" type="noConversion"/>
  </si>
  <si>
    <t>东方航空</t>
    <phoneticPr fontId="1" type="noConversion"/>
  </si>
  <si>
    <t>复星医药</t>
    <phoneticPr fontId="1" type="noConversion"/>
  </si>
  <si>
    <t>天富热电</t>
    <phoneticPr fontId="1" type="noConversion"/>
  </si>
  <si>
    <t>大众公用</t>
    <phoneticPr fontId="1" type="noConversion"/>
  </si>
  <si>
    <t>宜华木业</t>
    <phoneticPr fontId="1" type="noConversion"/>
  </si>
  <si>
    <t>中国一重</t>
    <phoneticPr fontId="1" type="noConversion"/>
  </si>
  <si>
    <t>ST新材</t>
    <phoneticPr fontId="1" type="noConversion"/>
  </si>
  <si>
    <t>凯乐科技</t>
    <phoneticPr fontId="1" type="noConversion"/>
  </si>
  <si>
    <t>12/17
最低%</t>
    <phoneticPr fontId="1" type="noConversion"/>
  </si>
  <si>
    <t>12/17
最低</t>
    <phoneticPr fontId="1" type="noConversion"/>
  </si>
  <si>
    <t>12/17
最高</t>
    <phoneticPr fontId="1" type="noConversion"/>
  </si>
  <si>
    <t>12/17
最高%</t>
    <phoneticPr fontId="1" type="noConversion"/>
  </si>
  <si>
    <t>最低日期</t>
    <phoneticPr fontId="1" type="noConversion"/>
  </si>
  <si>
    <t>最高日期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</si>
</sst>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21">
    <font>
      <sz val="9"/>
      <color theme="1"/>
      <name val="Arial"/>
      <family val="2"/>
      <charset val="134"/>
    </font>
    <font>
      <sz val="9"/>
      <name val="宋体"/>
      <family val="2"/>
      <charset val="134"/>
      <scheme val="minor"/>
    </font>
    <font>
      <b/>
      <sz val="10"/>
      <color rgb="FF000000"/>
      <name val="宋体"/>
      <family val="3"/>
      <charset val="134"/>
    </font>
    <font>
      <sz val="7"/>
      <color rgb="FF000000"/>
      <name val="Arial"/>
      <family val="2"/>
    </font>
    <font>
      <sz val="9"/>
      <name val="Arial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16"/>
      <name val="宋体"/>
      <family val="3"/>
      <charset val="134"/>
    </font>
    <font>
      <sz val="16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7" fillId="5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wrapText="1"/>
    </xf>
    <xf numFmtId="0" fontId="10" fillId="3" borderId="0" xfId="0" applyNumberFormat="1" applyFont="1" applyFill="1" applyBorder="1" applyAlignment="1">
      <alignment vertical="center" shrinkToFit="1"/>
    </xf>
    <xf numFmtId="10" fontId="10" fillId="3" borderId="0" xfId="0" applyNumberFormat="1" applyFont="1" applyFill="1" applyBorder="1" applyAlignment="1">
      <alignment vertical="center" shrinkToFit="1"/>
    </xf>
    <xf numFmtId="0" fontId="10" fillId="2" borderId="0" xfId="0" applyNumberFormat="1" applyFont="1" applyFill="1" applyBorder="1" applyAlignment="1">
      <alignment vertical="center" shrinkToFit="1"/>
    </xf>
    <xf numFmtId="10" fontId="10" fillId="2" borderId="0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wrapText="1"/>
    </xf>
    <xf numFmtId="9" fontId="10" fillId="2" borderId="0" xfId="0" applyNumberFormat="1" applyFont="1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10" fontId="10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vertical="center" shrinkToFit="1"/>
    </xf>
    <xf numFmtId="0" fontId="15" fillId="0" borderId="0" xfId="0" applyNumberFormat="1" applyFont="1" applyFill="1" applyBorder="1" applyAlignment="1">
      <alignment vertical="center" shrinkToFit="1"/>
    </xf>
    <xf numFmtId="176" fontId="10" fillId="0" borderId="0" xfId="0" applyNumberFormat="1" applyFont="1" applyFill="1" applyBorder="1" applyAlignment="1">
      <alignment vertical="center" shrinkToFit="1"/>
    </xf>
    <xf numFmtId="176" fontId="11" fillId="0" borderId="0" xfId="0" applyNumberFormat="1" applyFont="1" applyFill="1" applyBorder="1" applyAlignment="1">
      <alignment horizontal="center" vertical="center" wrapText="1"/>
    </xf>
    <xf numFmtId="176" fontId="10" fillId="3" borderId="0" xfId="0" applyNumberFormat="1" applyFont="1" applyFill="1" applyBorder="1" applyAlignment="1">
      <alignment vertical="center" shrinkToFit="1"/>
    </xf>
    <xf numFmtId="176" fontId="10" fillId="2" borderId="0" xfId="0" applyNumberFormat="1" applyFont="1" applyFill="1" applyBorder="1" applyAlignment="1">
      <alignment vertical="center" shrinkToFit="1"/>
    </xf>
    <xf numFmtId="0" fontId="17" fillId="3" borderId="0" xfId="1" applyFill="1">
      <alignment vertical="center"/>
    </xf>
    <xf numFmtId="0" fontId="18" fillId="2" borderId="0" xfId="1" applyFont="1" applyFill="1">
      <alignment vertical="center"/>
    </xf>
    <xf numFmtId="0" fontId="17" fillId="2" borderId="0" xfId="1" applyFill="1">
      <alignment vertical="center"/>
    </xf>
    <xf numFmtId="0" fontId="17" fillId="5" borderId="0" xfId="1">
      <alignment vertical="center"/>
    </xf>
    <xf numFmtId="0" fontId="17" fillId="5" borderId="0" xfId="1" applyNumberFormat="1" applyBorder="1" applyAlignment="1">
      <alignment vertical="center" shrinkToFit="1"/>
    </xf>
    <xf numFmtId="0" fontId="18" fillId="3" borderId="0" xfId="1" applyFont="1" applyFill="1">
      <alignment vertical="center"/>
    </xf>
    <xf numFmtId="10" fontId="16" fillId="0" borderId="0" xfId="0" applyNumberFormat="1" applyFont="1" applyFill="1" applyBorder="1" applyAlignment="1">
      <alignment vertical="center" shrinkToFit="1"/>
    </xf>
    <xf numFmtId="0" fontId="17" fillId="3" borderId="0" xfId="1" applyNumberFormat="1" applyFill="1" applyBorder="1" applyAlignment="1">
      <alignment vertical="center" shrinkToFit="1"/>
    </xf>
    <xf numFmtId="0" fontId="18" fillId="2" borderId="0" xfId="1" applyNumberFormat="1" applyFont="1" applyFill="1" applyBorder="1" applyAlignment="1">
      <alignment vertical="center" shrinkToFit="1"/>
    </xf>
    <xf numFmtId="0" fontId="13" fillId="3" borderId="0" xfId="0" applyNumberFormat="1" applyFont="1" applyFill="1" applyBorder="1" applyAlignment="1">
      <alignment vertical="center" shrinkToFit="1"/>
    </xf>
    <xf numFmtId="0" fontId="13" fillId="2" borderId="0" xfId="0" applyNumberFormat="1" applyFont="1" applyFill="1" applyBorder="1" applyAlignment="1">
      <alignment vertical="center" shrinkToFit="1"/>
    </xf>
    <xf numFmtId="0" fontId="10" fillId="0" borderId="0" xfId="0" applyNumberFormat="1" applyFont="1" applyFill="1" applyBorder="1" applyAlignment="1">
      <alignment vertical="center" wrapText="1" shrinkToFit="1"/>
    </xf>
    <xf numFmtId="14" fontId="10" fillId="0" borderId="0" xfId="0" applyNumberFormat="1" applyFont="1" applyFill="1" applyBorder="1" applyAlignment="1">
      <alignment vertical="center" shrinkToFit="1"/>
    </xf>
    <xf numFmtId="0" fontId="20" fillId="0" borderId="0" xfId="0" applyNumberFormat="1" applyFont="1" applyFill="1" applyBorder="1" applyAlignment="1">
      <alignment vertical="center" wrapText="1"/>
    </xf>
  </cellXfs>
  <cellStyles count="2">
    <cellStyle name="Bad" xfId="1" builtinId="27"/>
    <cellStyle name="Normal" xfId="0" builtinId="0"/>
  </cellStyles>
  <dxfs count="28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BFE7E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showGridLines="0" defaultGridColor="0" colorId="55" workbookViewId="0">
      <selection activeCell="B6" sqref="B6"/>
    </sheetView>
  </sheetViews>
  <sheetFormatPr defaultColWidth="0" defaultRowHeight="12"/>
  <cols>
    <col min="1" max="1" width="8.7109375" style="3" customWidth="1"/>
    <col min="2" max="2" width="160.7109375" style="3" customWidth="1"/>
    <col min="3" max="16384" width="8.7109375" style="2" hidden="1"/>
  </cols>
  <sheetData>
    <row r="1" spans="1:2">
      <c r="A1" s="1" t="s">
        <v>52</v>
      </c>
      <c r="B1" s="1" t="s">
        <v>53</v>
      </c>
    </row>
    <row r="2" spans="1:2" ht="48">
      <c r="A2" s="3" t="s">
        <v>54</v>
      </c>
      <c r="B2" s="3" t="s">
        <v>55</v>
      </c>
    </row>
    <row r="3" spans="1:2">
      <c r="A3" s="3" t="s">
        <v>56</v>
      </c>
      <c r="B3" s="3" t="s">
        <v>57</v>
      </c>
    </row>
    <row r="4" spans="1:2">
      <c r="A4" s="3" t="s">
        <v>58</v>
      </c>
      <c r="B4" s="3" t="s">
        <v>110</v>
      </c>
    </row>
    <row r="5" spans="1:2">
      <c r="A5" s="3" t="s">
        <v>50</v>
      </c>
    </row>
    <row r="6" spans="1:2">
      <c r="A6" s="3" t="s">
        <v>59</v>
      </c>
    </row>
    <row r="7" spans="1:2">
      <c r="A7" s="3" t="s">
        <v>60</v>
      </c>
    </row>
    <row r="8" spans="1:2">
      <c r="A8" s="3" t="s">
        <v>61</v>
      </c>
    </row>
    <row r="9" spans="1:2">
      <c r="A9" s="3" t="s">
        <v>51</v>
      </c>
    </row>
    <row r="10" spans="1:2">
      <c r="A10" s="3" t="s">
        <v>62</v>
      </c>
    </row>
    <row r="11" spans="1:2">
      <c r="A11" s="3" t="s">
        <v>63</v>
      </c>
    </row>
    <row r="12" spans="1:2">
      <c r="A12" s="3" t="s">
        <v>64</v>
      </c>
    </row>
    <row r="13" spans="1:2">
      <c r="A13" s="3" t="s">
        <v>65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ain"/>
  <dimension ref="A1:AC96"/>
  <sheetViews>
    <sheetView showGridLines="0" tabSelected="1" defaultGridColor="0" colorId="23" zoomScale="120" zoomScaleNormal="120" workbookViewId="0">
      <pane ySplit="2" topLeftCell="A75" activePane="bottomLeft" state="frozen"/>
      <selection pane="bottomLeft" activeCell="AA75" sqref="AA75"/>
    </sheetView>
  </sheetViews>
  <sheetFormatPr defaultColWidth="6.7109375" defaultRowHeight="20.25"/>
  <cols>
    <col min="1" max="2" width="8.7109375" style="4" customWidth="1"/>
    <col min="3" max="7" width="6.7109375" style="4" customWidth="1"/>
    <col min="8" max="9" width="6.7109375" style="4" hidden="1" customWidth="1"/>
    <col min="10" max="11" width="8.7109375" style="4" hidden="1" customWidth="1"/>
    <col min="12" max="12" width="2.7109375" style="4" customWidth="1"/>
    <col min="13" max="13" width="6.7109375" style="14" customWidth="1"/>
    <col min="14" max="14" width="6.7109375" style="4" customWidth="1"/>
    <col min="15" max="15" width="6.7109375" style="4" hidden="1" customWidth="1"/>
    <col min="16" max="16" width="28.7109375" style="4" hidden="1" customWidth="1"/>
    <col min="17" max="17" width="6.7109375" style="18" customWidth="1"/>
    <col min="18" max="18" width="6.7109375" style="4" customWidth="1"/>
    <col min="19" max="19" width="32.42578125" style="4" customWidth="1"/>
    <col min="20" max="20" width="3.85546875" style="16" customWidth="1"/>
    <col min="21" max="21" width="5.5703125" style="14" customWidth="1"/>
    <col min="22" max="22" width="4.7109375" style="4" customWidth="1"/>
    <col min="23" max="16384" width="6.7109375" style="4"/>
  </cols>
  <sheetData>
    <row r="1" spans="1:29" ht="36" customHeight="1"/>
    <row r="2" spans="1:29" s="5" customFormat="1" ht="24">
      <c r="A2" s="10" t="s">
        <v>112</v>
      </c>
      <c r="B2" s="10" t="s">
        <v>0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67</v>
      </c>
      <c r="I2" s="10" t="s">
        <v>68</v>
      </c>
      <c r="J2" s="10" t="s">
        <v>48</v>
      </c>
      <c r="K2" s="10" t="s">
        <v>49</v>
      </c>
      <c r="L2" s="10"/>
      <c r="M2" s="15" t="s">
        <v>66</v>
      </c>
      <c r="N2" s="10" t="s">
        <v>74</v>
      </c>
      <c r="O2" s="10" t="s">
        <v>113</v>
      </c>
      <c r="P2" s="10" t="s">
        <v>114</v>
      </c>
      <c r="Q2" s="19" t="s">
        <v>115</v>
      </c>
      <c r="R2" s="10" t="s">
        <v>121</v>
      </c>
      <c r="S2" s="10" t="s">
        <v>116</v>
      </c>
      <c r="U2" s="4" t="s">
        <v>170</v>
      </c>
      <c r="V2" s="4" t="s">
        <v>169</v>
      </c>
      <c r="X2" s="33" t="s">
        <v>234</v>
      </c>
      <c r="Y2" s="33" t="s">
        <v>235</v>
      </c>
      <c r="Z2" s="35" t="s">
        <v>238</v>
      </c>
      <c r="AA2" s="33" t="s">
        <v>237</v>
      </c>
      <c r="AB2" s="33" t="s">
        <v>236</v>
      </c>
      <c r="AC2" s="35" t="s">
        <v>239</v>
      </c>
    </row>
    <row r="3" spans="1:29" hidden="1">
      <c r="A3" s="6" t="s">
        <v>45</v>
      </c>
      <c r="B3" s="6" t="s">
        <v>172</v>
      </c>
      <c r="C3" s="6">
        <v>15.2</v>
      </c>
      <c r="D3" s="6">
        <v>15.22</v>
      </c>
      <c r="E3" s="31">
        <v>15.65</v>
      </c>
      <c r="F3" s="6">
        <v>15.82</v>
      </c>
      <c r="G3" s="6">
        <v>15</v>
      </c>
      <c r="H3" s="6">
        <v>15.66</v>
      </c>
      <c r="I3" s="6">
        <v>15.67</v>
      </c>
      <c r="J3" s="6">
        <v>174378.9</v>
      </c>
      <c r="K3" s="6">
        <v>26704.6</v>
      </c>
      <c r="M3" s="7">
        <v>2.8299999999999999E-2</v>
      </c>
      <c r="N3" s="7">
        <v>5.4699999999999999E-2</v>
      </c>
      <c r="O3" s="6" t="s">
        <v>11</v>
      </c>
      <c r="P3" s="6" t="s">
        <v>92</v>
      </c>
      <c r="Q3" s="20"/>
      <c r="R3" s="6"/>
      <c r="S3" s="6"/>
    </row>
    <row r="4" spans="1:29" hidden="1">
      <c r="A4" s="8" t="s">
        <v>16</v>
      </c>
      <c r="B4" s="8" t="s">
        <v>180</v>
      </c>
      <c r="C4" s="8">
        <v>15.06</v>
      </c>
      <c r="D4" s="8">
        <v>15.06</v>
      </c>
      <c r="E4" s="32">
        <v>15.81</v>
      </c>
      <c r="F4" s="8">
        <v>15.83</v>
      </c>
      <c r="G4" s="8">
        <v>15</v>
      </c>
      <c r="H4" s="8">
        <v>15.81</v>
      </c>
      <c r="I4" s="8">
        <v>15.82</v>
      </c>
      <c r="J4" s="8">
        <v>149063.9</v>
      </c>
      <c r="K4" s="8">
        <v>22882.2</v>
      </c>
      <c r="M4" s="9">
        <v>4.9799999999999997E-2</v>
      </c>
      <c r="N4" s="9">
        <v>5.5300000000000002E-2</v>
      </c>
      <c r="O4" s="8" t="s">
        <v>4</v>
      </c>
      <c r="P4" s="8" t="s">
        <v>91</v>
      </c>
      <c r="Q4" s="21"/>
      <c r="R4" s="8"/>
      <c r="S4" s="8"/>
    </row>
    <row r="5" spans="1:29" hidden="1">
      <c r="A5" s="6" t="s">
        <v>40</v>
      </c>
      <c r="B5" s="6" t="s">
        <v>181</v>
      </c>
      <c r="C5" s="6">
        <v>7.02</v>
      </c>
      <c r="D5" s="6">
        <v>7.08</v>
      </c>
      <c r="E5" s="31">
        <v>7.2</v>
      </c>
      <c r="F5" s="6">
        <v>7.28</v>
      </c>
      <c r="G5" s="6">
        <v>6.99</v>
      </c>
      <c r="H5" s="6">
        <v>7.2</v>
      </c>
      <c r="I5" s="6">
        <v>7.22</v>
      </c>
      <c r="J5" s="6">
        <v>414327.5</v>
      </c>
      <c r="K5" s="6">
        <v>29359.200000000001</v>
      </c>
      <c r="M5" s="7">
        <v>1.6899999999999998E-2</v>
      </c>
      <c r="N5" s="7">
        <v>4.1500000000000002E-2</v>
      </c>
      <c r="O5" s="6" t="s">
        <v>8</v>
      </c>
      <c r="P5" s="6" t="s">
        <v>93</v>
      </c>
      <c r="Q5" s="20"/>
      <c r="R5" s="6"/>
      <c r="S5" s="6"/>
    </row>
    <row r="6" spans="1:29" hidden="1">
      <c r="A6" s="8" t="s">
        <v>28</v>
      </c>
      <c r="B6" s="8" t="s">
        <v>182</v>
      </c>
      <c r="C6" s="8">
        <v>8.5500000000000007</v>
      </c>
      <c r="D6" s="8">
        <v>8.52</v>
      </c>
      <c r="E6" s="32">
        <v>8.67</v>
      </c>
      <c r="F6" s="8">
        <v>8.6999999999999993</v>
      </c>
      <c r="G6" s="8">
        <v>8.18</v>
      </c>
      <c r="H6" s="8">
        <v>8.67</v>
      </c>
      <c r="I6" s="8">
        <v>8.68</v>
      </c>
      <c r="J6" s="8">
        <v>112834.4</v>
      </c>
      <c r="K6" s="8">
        <v>9468.7999999999993</v>
      </c>
      <c r="M6" s="9">
        <v>1.7600000000000001E-2</v>
      </c>
      <c r="N6" s="9">
        <v>6.3600000000000004E-2</v>
      </c>
      <c r="O6" s="8" t="s">
        <v>8</v>
      </c>
      <c r="P6" s="8" t="s">
        <v>84</v>
      </c>
      <c r="Q6" s="21"/>
      <c r="R6" s="8"/>
      <c r="S6" s="8"/>
    </row>
    <row r="7" spans="1:29" hidden="1">
      <c r="A7" s="6" t="s">
        <v>24</v>
      </c>
      <c r="B7" s="6" t="s">
        <v>183</v>
      </c>
      <c r="C7" s="6">
        <v>4.5</v>
      </c>
      <c r="D7" s="6">
        <v>4.5</v>
      </c>
      <c r="E7" s="31">
        <v>4.7699999999999996</v>
      </c>
      <c r="F7" s="6">
        <v>4.7699999999999996</v>
      </c>
      <c r="G7" s="6">
        <v>4.4800000000000004</v>
      </c>
      <c r="H7" s="6">
        <v>4.76</v>
      </c>
      <c r="I7" s="6">
        <v>4.7699999999999996</v>
      </c>
      <c r="J7" s="6">
        <v>456576.8</v>
      </c>
      <c r="K7" s="6">
        <v>21276.2</v>
      </c>
      <c r="M7" s="7">
        <v>0.06</v>
      </c>
      <c r="N7" s="7">
        <v>6.4699999999999994E-2</v>
      </c>
      <c r="O7" s="6" t="s">
        <v>9</v>
      </c>
      <c r="P7" s="6" t="s">
        <v>100</v>
      </c>
      <c r="Q7" s="20"/>
      <c r="R7" s="6"/>
      <c r="S7" s="6"/>
    </row>
    <row r="8" spans="1:29" hidden="1">
      <c r="A8" s="8" t="s">
        <v>25</v>
      </c>
      <c r="B8" s="8" t="s">
        <v>184</v>
      </c>
      <c r="C8" s="8">
        <v>17.66</v>
      </c>
      <c r="D8" s="8">
        <v>17.670000000000002</v>
      </c>
      <c r="E8" s="32">
        <v>17.97</v>
      </c>
      <c r="F8" s="8">
        <v>18.100000000000001</v>
      </c>
      <c r="G8" s="8">
        <v>17.55</v>
      </c>
      <c r="H8" s="8">
        <v>17.97</v>
      </c>
      <c r="I8" s="8">
        <v>17.98</v>
      </c>
      <c r="J8" s="8">
        <v>55393.8</v>
      </c>
      <c r="K8" s="8">
        <v>9934.5</v>
      </c>
      <c r="M8" s="9">
        <v>1.7000000000000001E-2</v>
      </c>
      <c r="N8" s="9">
        <v>3.1300000000000001E-2</v>
      </c>
      <c r="O8" s="8" t="s">
        <v>9</v>
      </c>
      <c r="P8" s="8" t="s">
        <v>100</v>
      </c>
      <c r="Q8" s="21"/>
      <c r="R8" s="8"/>
      <c r="S8" s="8"/>
    </row>
    <row r="9" spans="1:29" hidden="1">
      <c r="A9" s="6" t="s">
        <v>15</v>
      </c>
      <c r="B9" s="6" t="s">
        <v>185</v>
      </c>
      <c r="C9" s="6">
        <v>7.08</v>
      </c>
      <c r="D9" s="6">
        <v>7.06</v>
      </c>
      <c r="E9" s="31">
        <v>7.31</v>
      </c>
      <c r="F9" s="6">
        <v>7.33</v>
      </c>
      <c r="G9" s="6">
        <v>7.01</v>
      </c>
      <c r="H9" s="6">
        <v>7.31</v>
      </c>
      <c r="I9" s="6">
        <v>7.32</v>
      </c>
      <c r="J9" s="6">
        <v>54522.3</v>
      </c>
      <c r="K9" s="6">
        <v>3920</v>
      </c>
      <c r="M9" s="7">
        <v>3.5400000000000001E-2</v>
      </c>
      <c r="N9" s="7">
        <v>4.5600000000000002E-2</v>
      </c>
      <c r="O9" s="6" t="s">
        <v>3</v>
      </c>
      <c r="P9" s="6" t="s">
        <v>100</v>
      </c>
      <c r="Q9" s="20"/>
      <c r="R9" s="6"/>
      <c r="S9" s="6"/>
    </row>
    <row r="10" spans="1:29" hidden="1">
      <c r="A10" s="8" t="s">
        <v>75</v>
      </c>
      <c r="B10" s="8" t="s">
        <v>186</v>
      </c>
      <c r="C10" s="8">
        <v>16.28</v>
      </c>
      <c r="D10" s="8">
        <v>16.11</v>
      </c>
      <c r="E10" s="32">
        <v>16.71</v>
      </c>
      <c r="F10" s="8">
        <v>16.72</v>
      </c>
      <c r="G10" s="8">
        <v>16</v>
      </c>
      <c r="H10" s="8">
        <v>16.71</v>
      </c>
      <c r="I10" s="8">
        <v>16.72</v>
      </c>
      <c r="J10" s="8">
        <v>22517.8</v>
      </c>
      <c r="K10" s="8">
        <v>3668.2</v>
      </c>
      <c r="M10" s="9">
        <v>3.7199999999999997E-2</v>
      </c>
      <c r="N10" s="9">
        <v>4.4999999999999998E-2</v>
      </c>
      <c r="O10" s="8" t="s">
        <v>76</v>
      </c>
      <c r="P10" s="8" t="s">
        <v>85</v>
      </c>
      <c r="Q10" s="21">
        <v>17.71</v>
      </c>
      <c r="R10" s="9">
        <v>-6.2600000000000003E-2</v>
      </c>
      <c r="S10" s="8" t="s">
        <v>103</v>
      </c>
    </row>
    <row r="11" spans="1:29" hidden="1">
      <c r="A11" s="6" t="s">
        <v>43</v>
      </c>
      <c r="B11" s="6" t="s">
        <v>187</v>
      </c>
      <c r="C11" s="6">
        <v>2.4</v>
      </c>
      <c r="D11" s="6">
        <v>2.4</v>
      </c>
      <c r="E11" s="31">
        <v>2.4500000000000002</v>
      </c>
      <c r="F11" s="6">
        <v>2.46</v>
      </c>
      <c r="G11" s="6">
        <v>2.36</v>
      </c>
      <c r="H11" s="6">
        <v>2.4500000000000002</v>
      </c>
      <c r="I11" s="6">
        <v>2.46</v>
      </c>
      <c r="J11" s="6">
        <v>47309.599999999999</v>
      </c>
      <c r="K11" s="6">
        <v>1140.3</v>
      </c>
      <c r="M11" s="7">
        <v>2.0799999999999999E-2</v>
      </c>
      <c r="N11" s="7">
        <v>4.24E-2</v>
      </c>
      <c r="O11" s="6" t="s">
        <v>47</v>
      </c>
      <c r="P11" s="6" t="s">
        <v>90</v>
      </c>
      <c r="Q11" s="20"/>
      <c r="R11" s="6"/>
      <c r="S11" s="6"/>
    </row>
    <row r="12" spans="1:29" hidden="1">
      <c r="A12" s="8" t="s">
        <v>41</v>
      </c>
      <c r="B12" s="8" t="s">
        <v>188</v>
      </c>
      <c r="C12" s="8">
        <v>4.57</v>
      </c>
      <c r="D12" s="8">
        <v>4.57</v>
      </c>
      <c r="E12" s="32">
        <v>4.7300000000000004</v>
      </c>
      <c r="F12" s="8">
        <v>4.74</v>
      </c>
      <c r="G12" s="8">
        <v>4.51</v>
      </c>
      <c r="H12" s="8">
        <v>4.7300000000000004</v>
      </c>
      <c r="I12" s="8">
        <v>4.74</v>
      </c>
      <c r="J12" s="8">
        <v>357703.7</v>
      </c>
      <c r="K12" s="8">
        <v>16536.3</v>
      </c>
      <c r="M12" s="9">
        <v>3.5000000000000003E-2</v>
      </c>
      <c r="N12" s="9">
        <v>5.0999999999999997E-2</v>
      </c>
      <c r="O12" s="8" t="s">
        <v>1</v>
      </c>
      <c r="P12" s="8" t="s">
        <v>89</v>
      </c>
      <c r="Q12" s="21"/>
      <c r="R12" s="8"/>
      <c r="S12" s="8"/>
    </row>
    <row r="13" spans="1:29" hidden="1">
      <c r="A13" s="6" t="s">
        <v>23</v>
      </c>
      <c r="B13" s="6" t="s">
        <v>189</v>
      </c>
      <c r="C13" s="6">
        <v>11.4</v>
      </c>
      <c r="D13" s="6">
        <v>11.41</v>
      </c>
      <c r="E13" s="31">
        <v>11.62</v>
      </c>
      <c r="F13" s="6">
        <v>11.69</v>
      </c>
      <c r="G13" s="6">
        <v>11.35</v>
      </c>
      <c r="H13" s="6">
        <v>11.63</v>
      </c>
      <c r="I13" s="6">
        <v>11.64</v>
      </c>
      <c r="J13" s="6">
        <v>457068.1</v>
      </c>
      <c r="K13" s="6">
        <v>52506.2</v>
      </c>
      <c r="M13" s="7">
        <v>1.84E-2</v>
      </c>
      <c r="N13" s="7">
        <v>0.03</v>
      </c>
      <c r="O13" s="6" t="s">
        <v>9</v>
      </c>
      <c r="P13" s="6" t="s">
        <v>97</v>
      </c>
      <c r="Q13" s="20"/>
      <c r="R13" s="6"/>
      <c r="S13" s="6"/>
    </row>
    <row r="14" spans="1:29" hidden="1">
      <c r="A14" s="8" t="s">
        <v>108</v>
      </c>
      <c r="B14" s="8" t="s">
        <v>190</v>
      </c>
      <c r="C14" s="8">
        <v>8.51</v>
      </c>
      <c r="D14" s="8">
        <v>8.49</v>
      </c>
      <c r="E14" s="32">
        <v>8.6199999999999992</v>
      </c>
      <c r="F14" s="8">
        <v>8.65</v>
      </c>
      <c r="G14" s="8">
        <v>8.49</v>
      </c>
      <c r="H14" s="8">
        <v>8.6199999999999992</v>
      </c>
      <c r="I14" s="8">
        <v>8.6300000000000008</v>
      </c>
      <c r="J14" s="8">
        <v>377303</v>
      </c>
      <c r="K14" s="8">
        <v>32246.3</v>
      </c>
      <c r="M14" s="9">
        <v>1.5299999999999999E-2</v>
      </c>
      <c r="N14" s="9">
        <v>1.8800000000000001E-2</v>
      </c>
      <c r="O14" s="8" t="s">
        <v>8</v>
      </c>
      <c r="P14" s="8" t="s">
        <v>109</v>
      </c>
      <c r="Q14" s="21"/>
      <c r="R14" s="8"/>
      <c r="S14" s="8"/>
    </row>
    <row r="15" spans="1:29" hidden="1">
      <c r="A15" s="6" t="s">
        <v>42</v>
      </c>
      <c r="B15" s="6" t="s">
        <v>191</v>
      </c>
      <c r="C15" s="6">
        <v>5.82</v>
      </c>
      <c r="D15" s="6">
        <v>5.82</v>
      </c>
      <c r="E15" s="31">
        <v>5.94</v>
      </c>
      <c r="F15" s="6">
        <v>5.98</v>
      </c>
      <c r="G15" s="6">
        <v>5.8</v>
      </c>
      <c r="H15" s="6">
        <v>5.94</v>
      </c>
      <c r="I15" s="6">
        <v>5.95</v>
      </c>
      <c r="J15" s="6">
        <v>921979</v>
      </c>
      <c r="K15" s="6">
        <v>54149.9</v>
      </c>
      <c r="M15" s="7">
        <v>2.06E-2</v>
      </c>
      <c r="N15" s="7">
        <v>3.1E-2</v>
      </c>
      <c r="O15" s="6" t="s">
        <v>8</v>
      </c>
      <c r="P15" s="6" t="s">
        <v>105</v>
      </c>
      <c r="Q15" s="20"/>
      <c r="R15" s="6"/>
      <c r="S15" s="6"/>
    </row>
    <row r="16" spans="1:29" hidden="1">
      <c r="A16" s="8" t="s">
        <v>22</v>
      </c>
      <c r="B16" s="8" t="s">
        <v>192</v>
      </c>
      <c r="C16" s="8">
        <v>9.39</v>
      </c>
      <c r="D16" s="8">
        <v>9.3800000000000008</v>
      </c>
      <c r="E16" s="32">
        <v>9.64</v>
      </c>
      <c r="F16" s="8">
        <v>9.69</v>
      </c>
      <c r="G16" s="8">
        <v>9.36</v>
      </c>
      <c r="H16" s="8">
        <v>9.6199999999999992</v>
      </c>
      <c r="I16" s="8">
        <v>9.6300000000000008</v>
      </c>
      <c r="J16" s="8">
        <v>161612.29999999999</v>
      </c>
      <c r="K16" s="8">
        <v>15354.3</v>
      </c>
      <c r="M16" s="9">
        <v>2.7699999999999999E-2</v>
      </c>
      <c r="N16" s="9">
        <v>3.5299999999999998E-2</v>
      </c>
      <c r="O16" s="8" t="s">
        <v>8</v>
      </c>
      <c r="P16" s="8" t="s">
        <v>96</v>
      </c>
      <c r="Q16" s="21"/>
      <c r="R16" s="8"/>
      <c r="S16" s="8"/>
    </row>
    <row r="17" spans="1:19" hidden="1">
      <c r="A17" s="6" t="s">
        <v>104</v>
      </c>
      <c r="B17" s="6" t="s">
        <v>193</v>
      </c>
      <c r="C17" s="6">
        <v>4.5</v>
      </c>
      <c r="D17" s="6">
        <v>4.5</v>
      </c>
      <c r="E17" s="31">
        <v>4.5199999999999996</v>
      </c>
      <c r="F17" s="6">
        <v>4.55</v>
      </c>
      <c r="G17" s="6">
        <v>4.43</v>
      </c>
      <c r="H17" s="6">
        <v>4.5199999999999996</v>
      </c>
      <c r="I17" s="6">
        <v>4.53</v>
      </c>
      <c r="J17" s="6">
        <v>588685.9</v>
      </c>
      <c r="K17" s="6">
        <v>26450.9</v>
      </c>
      <c r="M17" s="7">
        <v>4.4000000000000003E-3</v>
      </c>
      <c r="N17" s="7">
        <v>2.7099999999999999E-2</v>
      </c>
      <c r="O17" s="6" t="s">
        <v>119</v>
      </c>
      <c r="P17" s="6" t="s">
        <v>106</v>
      </c>
      <c r="Q17" s="20"/>
      <c r="R17" s="7"/>
      <c r="S17" s="6"/>
    </row>
    <row r="18" spans="1:19" hidden="1">
      <c r="A18" s="8" t="s">
        <v>107</v>
      </c>
      <c r="B18" s="8" t="s">
        <v>194</v>
      </c>
      <c r="C18" s="8">
        <v>15.08</v>
      </c>
      <c r="D18" s="8">
        <v>15.05</v>
      </c>
      <c r="E18" s="32">
        <v>15.28</v>
      </c>
      <c r="F18" s="8">
        <v>15.39</v>
      </c>
      <c r="G18" s="8">
        <v>14.93</v>
      </c>
      <c r="H18" s="8">
        <v>15.27</v>
      </c>
      <c r="I18" s="8">
        <v>15.28</v>
      </c>
      <c r="J18" s="8">
        <v>157377.70000000001</v>
      </c>
      <c r="K18" s="8">
        <v>23836.5</v>
      </c>
      <c r="M18" s="9">
        <v>1.5299999999999999E-2</v>
      </c>
      <c r="N18" s="9">
        <v>3.0800000000000001E-2</v>
      </c>
      <c r="O18" s="8" t="s">
        <v>8</v>
      </c>
      <c r="P18" s="8" t="s">
        <v>109</v>
      </c>
      <c r="Q18" s="21"/>
      <c r="R18" s="8"/>
      <c r="S18" s="8"/>
    </row>
    <row r="19" spans="1:19" hidden="1">
      <c r="A19" s="6" t="s">
        <v>27</v>
      </c>
      <c r="B19" s="6" t="s">
        <v>195</v>
      </c>
      <c r="C19" s="6">
        <v>6.62</v>
      </c>
      <c r="D19" s="6">
        <v>6.96</v>
      </c>
      <c r="E19" s="31">
        <v>6.92</v>
      </c>
      <c r="F19" s="6">
        <v>6.93</v>
      </c>
      <c r="G19" s="6">
        <v>6.56</v>
      </c>
      <c r="H19" s="6">
        <v>6.92</v>
      </c>
      <c r="I19" s="6">
        <v>6.93</v>
      </c>
      <c r="J19" s="6">
        <v>51799.6</v>
      </c>
      <c r="K19" s="6">
        <v>3494.1</v>
      </c>
      <c r="M19" s="7">
        <v>-5.7000000000000002E-3</v>
      </c>
      <c r="N19" s="7">
        <v>5.6399999999999999E-2</v>
      </c>
      <c r="O19" s="6" t="s">
        <v>10</v>
      </c>
      <c r="P19" s="6" t="s">
        <v>87</v>
      </c>
      <c r="Q19" s="20"/>
      <c r="R19" s="6"/>
      <c r="S19" s="6"/>
    </row>
    <row r="20" spans="1:19" hidden="1">
      <c r="A20" s="8" t="s">
        <v>37</v>
      </c>
      <c r="B20" s="8" t="s">
        <v>196</v>
      </c>
      <c r="C20" s="8">
        <v>8.9</v>
      </c>
      <c r="D20" s="8">
        <v>8.9499999999999993</v>
      </c>
      <c r="E20" s="32">
        <v>9.1</v>
      </c>
      <c r="F20" s="8">
        <v>9.1300000000000008</v>
      </c>
      <c r="G20" s="8">
        <v>8.58</v>
      </c>
      <c r="H20" s="8">
        <v>9.1</v>
      </c>
      <c r="I20" s="8">
        <v>9.11</v>
      </c>
      <c r="J20" s="8">
        <v>60060.6</v>
      </c>
      <c r="K20" s="8">
        <v>5349.7</v>
      </c>
      <c r="M20" s="9">
        <v>1.6799999999999999E-2</v>
      </c>
      <c r="N20" s="9">
        <v>6.4100000000000004E-2</v>
      </c>
      <c r="O20" s="8" t="s">
        <v>38</v>
      </c>
      <c r="P20" s="8" t="s">
        <v>95</v>
      </c>
      <c r="Q20" s="21"/>
      <c r="R20" s="8"/>
      <c r="S20" s="8"/>
    </row>
    <row r="21" spans="1:19" hidden="1">
      <c r="A21" s="6" t="s">
        <v>39</v>
      </c>
      <c r="B21" s="6" t="s">
        <v>197</v>
      </c>
      <c r="C21" s="6">
        <v>16.63</v>
      </c>
      <c r="D21" s="6">
        <v>16.63</v>
      </c>
      <c r="E21" s="31">
        <v>17.05</v>
      </c>
      <c r="F21" s="6">
        <v>17.059999999999999</v>
      </c>
      <c r="G21" s="6">
        <v>16.63</v>
      </c>
      <c r="H21" s="6">
        <v>17.05</v>
      </c>
      <c r="I21" s="6">
        <v>17.059999999999999</v>
      </c>
      <c r="J21" s="6">
        <v>79512.2</v>
      </c>
      <c r="K21" s="6">
        <v>13384.9</v>
      </c>
      <c r="M21" s="7">
        <v>2.53E-2</v>
      </c>
      <c r="N21" s="7">
        <v>2.5899999999999999E-2</v>
      </c>
      <c r="O21" s="6" t="s">
        <v>9</v>
      </c>
      <c r="P21" s="6" t="s">
        <v>94</v>
      </c>
      <c r="Q21" s="20"/>
      <c r="R21" s="6"/>
      <c r="S21" s="6"/>
    </row>
    <row r="22" spans="1:19" hidden="1">
      <c r="A22" s="8" t="s">
        <v>26</v>
      </c>
      <c r="B22" s="8" t="s">
        <v>198</v>
      </c>
      <c r="C22" s="8">
        <v>8.08</v>
      </c>
      <c r="D22" s="8">
        <v>8.1</v>
      </c>
      <c r="E22" s="32">
        <v>8.33</v>
      </c>
      <c r="F22" s="8">
        <v>8.36</v>
      </c>
      <c r="G22" s="8">
        <v>8.01</v>
      </c>
      <c r="H22" s="8">
        <v>8.35</v>
      </c>
      <c r="I22" s="8">
        <v>8.36</v>
      </c>
      <c r="J22" s="8">
        <v>98454.8</v>
      </c>
      <c r="K22" s="8">
        <v>8011.5</v>
      </c>
      <c r="M22" s="9">
        <v>2.8400000000000002E-2</v>
      </c>
      <c r="N22" s="9">
        <v>4.3700000000000003E-2</v>
      </c>
      <c r="O22" s="8" t="s">
        <v>2</v>
      </c>
      <c r="P22" s="8" t="s">
        <v>88</v>
      </c>
      <c r="Q22" s="21"/>
      <c r="R22" s="8"/>
      <c r="S22" s="8"/>
    </row>
    <row r="23" spans="1:19" hidden="1">
      <c r="A23" s="6" t="s">
        <v>35</v>
      </c>
      <c r="B23" s="6" t="s">
        <v>199</v>
      </c>
      <c r="C23" s="6">
        <v>22.48</v>
      </c>
      <c r="D23" s="6">
        <v>22.45</v>
      </c>
      <c r="E23" s="31">
        <v>23.34</v>
      </c>
      <c r="F23" s="6">
        <v>23.38</v>
      </c>
      <c r="G23" s="6">
        <v>22.48</v>
      </c>
      <c r="H23" s="6">
        <v>23.35</v>
      </c>
      <c r="I23" s="6">
        <v>23.36</v>
      </c>
      <c r="J23" s="6">
        <v>72087.899999999994</v>
      </c>
      <c r="K23" s="6">
        <v>16610.7</v>
      </c>
      <c r="M23" s="7">
        <v>3.9600000000000003E-2</v>
      </c>
      <c r="N23" s="7">
        <v>0.04</v>
      </c>
      <c r="O23" s="6" t="s">
        <v>36</v>
      </c>
      <c r="P23" s="6" t="s">
        <v>81</v>
      </c>
      <c r="Q23" s="20"/>
      <c r="R23" s="6"/>
      <c r="S23" s="6"/>
    </row>
    <row r="24" spans="1:19" hidden="1">
      <c r="A24" s="8" t="s">
        <v>18</v>
      </c>
      <c r="B24" s="8" t="s">
        <v>200</v>
      </c>
      <c r="C24" s="8">
        <v>11.11</v>
      </c>
      <c r="D24" s="8">
        <v>11.15</v>
      </c>
      <c r="E24" s="32">
        <v>11.5</v>
      </c>
      <c r="F24" s="8">
        <v>11.53</v>
      </c>
      <c r="G24" s="8">
        <v>11.07</v>
      </c>
      <c r="H24" s="8">
        <v>11.49</v>
      </c>
      <c r="I24" s="8">
        <v>11.5</v>
      </c>
      <c r="J24" s="8">
        <v>134584.29999999999</v>
      </c>
      <c r="K24" s="8">
        <v>15262.5</v>
      </c>
      <c r="M24" s="9">
        <v>3.1399999999999997E-2</v>
      </c>
      <c r="N24" s="9">
        <v>4.1599999999999998E-2</v>
      </c>
      <c r="O24" s="8" t="s">
        <v>1</v>
      </c>
      <c r="P24" s="8" t="s">
        <v>88</v>
      </c>
      <c r="Q24" s="21"/>
      <c r="R24" s="8"/>
      <c r="S24" s="8"/>
    </row>
    <row r="25" spans="1:19" hidden="1">
      <c r="A25" s="6" t="s">
        <v>19</v>
      </c>
      <c r="B25" s="6" t="s">
        <v>201</v>
      </c>
      <c r="C25" s="6">
        <v>15.28</v>
      </c>
      <c r="D25" s="6">
        <v>15.11</v>
      </c>
      <c r="E25" s="31">
        <v>15.52</v>
      </c>
      <c r="F25" s="6">
        <v>15.52</v>
      </c>
      <c r="G25" s="6">
        <v>14.9</v>
      </c>
      <c r="H25" s="6">
        <v>15.52</v>
      </c>
      <c r="I25" s="6">
        <v>15.53</v>
      </c>
      <c r="J25" s="6">
        <v>8681.2999999999993</v>
      </c>
      <c r="K25" s="6">
        <v>1324.7</v>
      </c>
      <c r="M25" s="7">
        <v>2.7099999999999999E-2</v>
      </c>
      <c r="N25" s="7">
        <v>4.1599999999999998E-2</v>
      </c>
      <c r="O25" s="6" t="s">
        <v>1</v>
      </c>
      <c r="P25" s="6" t="s">
        <v>81</v>
      </c>
      <c r="Q25" s="20"/>
      <c r="R25" s="6"/>
      <c r="S25" s="6"/>
    </row>
    <row r="26" spans="1:19" hidden="1">
      <c r="A26" s="8" t="s">
        <v>111</v>
      </c>
      <c r="B26" s="8" t="s">
        <v>202</v>
      </c>
      <c r="C26" s="8">
        <v>10.47</v>
      </c>
      <c r="D26" s="8">
        <v>10.47</v>
      </c>
      <c r="E26" s="32">
        <v>10.78</v>
      </c>
      <c r="F26" s="8">
        <v>10.83</v>
      </c>
      <c r="G26" s="8">
        <v>10.199999999999999</v>
      </c>
      <c r="H26" s="8">
        <v>10.78</v>
      </c>
      <c r="I26" s="8">
        <v>10.79</v>
      </c>
      <c r="J26" s="8">
        <v>22087.8</v>
      </c>
      <c r="K26" s="8">
        <v>2342.9</v>
      </c>
      <c r="M26" s="9">
        <v>2.9600000000000001E-2</v>
      </c>
      <c r="N26" s="9">
        <v>6.1800000000000001E-2</v>
      </c>
      <c r="O26" s="8" t="s">
        <v>117</v>
      </c>
      <c r="P26" s="8" t="s">
        <v>118</v>
      </c>
      <c r="Q26" s="21">
        <v>7.81</v>
      </c>
      <c r="R26" s="9">
        <v>0.27360000000000001</v>
      </c>
      <c r="S26" s="8" t="s">
        <v>120</v>
      </c>
    </row>
    <row r="27" spans="1:19" hidden="1">
      <c r="A27" s="6" t="s">
        <v>101</v>
      </c>
      <c r="B27" s="6" t="s">
        <v>203</v>
      </c>
      <c r="C27" s="6">
        <v>6.08</v>
      </c>
      <c r="D27" s="6">
        <v>6.04</v>
      </c>
      <c r="E27" s="31">
        <v>5.97</v>
      </c>
      <c r="F27" s="6">
        <v>6.08</v>
      </c>
      <c r="G27" s="6">
        <v>5.56</v>
      </c>
      <c r="H27" s="6">
        <v>5.93</v>
      </c>
      <c r="I27" s="6">
        <v>5.97</v>
      </c>
      <c r="J27" s="6">
        <v>50654.9</v>
      </c>
      <c r="K27" s="6">
        <v>2930.3</v>
      </c>
      <c r="M27" s="7">
        <v>-1.1599999999999999E-2</v>
      </c>
      <c r="N27" s="7">
        <v>9.35E-2</v>
      </c>
      <c r="O27" s="6" t="s">
        <v>1</v>
      </c>
      <c r="P27" s="6" t="s">
        <v>102</v>
      </c>
      <c r="Q27" s="20"/>
      <c r="R27" s="7"/>
      <c r="S27" s="6"/>
    </row>
    <row r="28" spans="1:19" hidden="1">
      <c r="A28" s="8" t="s">
        <v>30</v>
      </c>
      <c r="B28" s="8" t="s">
        <v>204</v>
      </c>
      <c r="C28" s="8">
        <v>4.45</v>
      </c>
      <c r="D28" s="8">
        <v>4.46</v>
      </c>
      <c r="E28" s="32">
        <v>4.55</v>
      </c>
      <c r="F28" s="8">
        <v>4.55</v>
      </c>
      <c r="G28" s="8">
        <v>4.4400000000000004</v>
      </c>
      <c r="H28" s="8">
        <v>4.54</v>
      </c>
      <c r="I28" s="8">
        <v>4.55</v>
      </c>
      <c r="J28" s="8">
        <v>82008.3</v>
      </c>
      <c r="K28" s="8">
        <v>3677.5</v>
      </c>
      <c r="M28" s="9">
        <v>2.0199999999999999E-2</v>
      </c>
      <c r="N28" s="9">
        <v>2.4799999999999999E-2</v>
      </c>
      <c r="O28" s="8" t="s">
        <v>13</v>
      </c>
      <c r="P28" s="8" t="s">
        <v>80</v>
      </c>
      <c r="Q28" s="21"/>
      <c r="R28" s="8"/>
      <c r="S28" s="8"/>
    </row>
    <row r="29" spans="1:19" hidden="1">
      <c r="A29" s="6" t="s">
        <v>44</v>
      </c>
      <c r="B29" s="6" t="s">
        <v>205</v>
      </c>
      <c r="C29" s="6">
        <v>2.8</v>
      </c>
      <c r="D29" s="6">
        <v>2.8</v>
      </c>
      <c r="E29" s="31">
        <v>2.88</v>
      </c>
      <c r="F29" s="6">
        <v>2.88</v>
      </c>
      <c r="G29" s="6">
        <v>2.78</v>
      </c>
      <c r="H29" s="6">
        <v>2.87</v>
      </c>
      <c r="I29" s="6">
        <v>2.88</v>
      </c>
      <c r="J29" s="6">
        <v>43274.7</v>
      </c>
      <c r="K29" s="6">
        <v>1228.3</v>
      </c>
      <c r="M29" s="7">
        <v>2.86E-2</v>
      </c>
      <c r="N29" s="7">
        <v>3.5999999999999997E-2</v>
      </c>
      <c r="O29" s="6" t="s">
        <v>3</v>
      </c>
      <c r="P29" s="6" t="s">
        <v>82</v>
      </c>
      <c r="Q29" s="20"/>
      <c r="R29" s="6"/>
      <c r="S29" s="6"/>
    </row>
    <row r="30" spans="1:19" hidden="1">
      <c r="A30" s="8" t="s">
        <v>20</v>
      </c>
      <c r="B30" s="8" t="s">
        <v>206</v>
      </c>
      <c r="C30" s="8">
        <v>10.26</v>
      </c>
      <c r="D30" s="8">
        <v>10.26</v>
      </c>
      <c r="E30" s="32">
        <v>10.57</v>
      </c>
      <c r="F30" s="8">
        <v>10.6</v>
      </c>
      <c r="G30" s="8">
        <v>10.199999999999999</v>
      </c>
      <c r="H30" s="8">
        <v>10.56</v>
      </c>
      <c r="I30" s="8">
        <v>10.57</v>
      </c>
      <c r="J30" s="8">
        <v>8555.2000000000007</v>
      </c>
      <c r="K30" s="8">
        <v>887</v>
      </c>
      <c r="M30" s="9">
        <v>3.0200000000000001E-2</v>
      </c>
      <c r="N30" s="9">
        <v>3.9199999999999999E-2</v>
      </c>
      <c r="O30" s="8" t="s">
        <v>7</v>
      </c>
      <c r="P30" s="8" t="s">
        <v>83</v>
      </c>
      <c r="Q30" s="21"/>
      <c r="R30" s="8"/>
      <c r="S30" s="8"/>
    </row>
    <row r="31" spans="1:19" hidden="1">
      <c r="A31" s="6" t="s">
        <v>33</v>
      </c>
      <c r="B31" s="6" t="s">
        <v>207</v>
      </c>
      <c r="C31" s="6">
        <v>30.28</v>
      </c>
      <c r="D31" s="6">
        <v>30.28</v>
      </c>
      <c r="E31" s="31">
        <v>30.75</v>
      </c>
      <c r="F31" s="6">
        <v>30.96</v>
      </c>
      <c r="G31" s="6">
        <v>29.71</v>
      </c>
      <c r="H31" s="6">
        <v>30.74</v>
      </c>
      <c r="I31" s="6">
        <v>30.75</v>
      </c>
      <c r="J31" s="6">
        <v>55143.3</v>
      </c>
      <c r="K31" s="6">
        <v>16662.400000000001</v>
      </c>
      <c r="M31" s="7">
        <v>1.55E-2</v>
      </c>
      <c r="N31" s="7">
        <v>4.2099999999999999E-2</v>
      </c>
      <c r="O31" s="6" t="s">
        <v>2</v>
      </c>
      <c r="P31" s="6" t="s">
        <v>78</v>
      </c>
      <c r="Q31" s="20"/>
      <c r="R31" s="6"/>
      <c r="S31" s="6"/>
    </row>
    <row r="32" spans="1:19" hidden="1">
      <c r="A32" s="8" t="s">
        <v>46</v>
      </c>
      <c r="B32" s="8" t="s">
        <v>208</v>
      </c>
      <c r="C32" s="8">
        <v>3.36</v>
      </c>
      <c r="D32" s="8">
        <v>3.35</v>
      </c>
      <c r="E32" s="32">
        <v>3.43</v>
      </c>
      <c r="F32" s="8">
        <v>3.44</v>
      </c>
      <c r="G32" s="8">
        <v>3.34</v>
      </c>
      <c r="H32" s="8">
        <v>3.43</v>
      </c>
      <c r="I32" s="8">
        <v>3.44</v>
      </c>
      <c r="J32" s="8">
        <v>106432.4</v>
      </c>
      <c r="K32" s="8">
        <v>3602.1</v>
      </c>
      <c r="M32" s="9">
        <v>2.3900000000000001E-2</v>
      </c>
      <c r="N32" s="9">
        <v>2.9899999999999999E-2</v>
      </c>
      <c r="O32" s="8" t="s">
        <v>5</v>
      </c>
      <c r="P32" s="8" t="s">
        <v>78</v>
      </c>
      <c r="Q32" s="21"/>
      <c r="R32" s="9"/>
      <c r="S32" s="8"/>
    </row>
    <row r="33" spans="1:25" hidden="1">
      <c r="A33" s="6" t="s">
        <v>17</v>
      </c>
      <c r="B33" s="6" t="s">
        <v>209</v>
      </c>
      <c r="C33" s="6">
        <v>5.51</v>
      </c>
      <c r="D33" s="6">
        <v>5.52</v>
      </c>
      <c r="E33" s="31">
        <v>5.7</v>
      </c>
      <c r="F33" s="6">
        <v>5.71</v>
      </c>
      <c r="G33" s="6">
        <v>5.49</v>
      </c>
      <c r="H33" s="6">
        <v>5.7</v>
      </c>
      <c r="I33" s="6">
        <v>5.71</v>
      </c>
      <c r="J33" s="6">
        <v>70260.399999999994</v>
      </c>
      <c r="K33" s="6">
        <v>3928.1</v>
      </c>
      <c r="M33" s="7">
        <v>3.2599999999999997E-2</v>
      </c>
      <c r="N33" s="7">
        <v>4.0099999999999997E-2</v>
      </c>
      <c r="O33" s="6" t="s">
        <v>6</v>
      </c>
      <c r="P33" s="6" t="s">
        <v>98</v>
      </c>
      <c r="Q33" s="20"/>
      <c r="R33" s="6"/>
      <c r="S33" s="6"/>
    </row>
    <row r="34" spans="1:25" hidden="1">
      <c r="A34" s="8" t="s">
        <v>31</v>
      </c>
      <c r="B34" s="8" t="s">
        <v>210</v>
      </c>
      <c r="C34" s="8">
        <v>14.89</v>
      </c>
      <c r="D34" s="8">
        <v>14.87</v>
      </c>
      <c r="E34" s="32">
        <v>15.19</v>
      </c>
      <c r="F34" s="8">
        <v>15.2</v>
      </c>
      <c r="G34" s="8">
        <v>14.68</v>
      </c>
      <c r="H34" s="8">
        <v>15.18</v>
      </c>
      <c r="I34" s="8">
        <v>15.19</v>
      </c>
      <c r="J34" s="8">
        <v>220423.6</v>
      </c>
      <c r="K34" s="8">
        <v>32962.5</v>
      </c>
      <c r="M34" s="9">
        <v>2.1499999999999998E-2</v>
      </c>
      <c r="N34" s="9">
        <v>3.5400000000000001E-2</v>
      </c>
      <c r="O34" s="8" t="s">
        <v>6</v>
      </c>
      <c r="P34" s="8" t="s">
        <v>99</v>
      </c>
      <c r="Q34" s="21"/>
      <c r="R34" s="8"/>
      <c r="S34" s="8"/>
    </row>
    <row r="35" spans="1:25" hidden="1">
      <c r="A35" s="6" t="s">
        <v>29</v>
      </c>
      <c r="B35" s="6" t="s">
        <v>211</v>
      </c>
      <c r="C35" s="6">
        <v>29.03</v>
      </c>
      <c r="D35" s="6">
        <v>29.36</v>
      </c>
      <c r="E35" s="31">
        <v>29.49</v>
      </c>
      <c r="F35" s="6">
        <v>29.6</v>
      </c>
      <c r="G35" s="6">
        <v>28.8</v>
      </c>
      <c r="H35" s="6">
        <v>29.49</v>
      </c>
      <c r="I35" s="6">
        <v>29.5</v>
      </c>
      <c r="J35" s="6">
        <v>17949.7</v>
      </c>
      <c r="K35" s="6">
        <v>5254.6</v>
      </c>
      <c r="M35" s="7">
        <v>4.4000000000000003E-3</v>
      </c>
      <c r="N35" s="7">
        <v>2.7799999999999998E-2</v>
      </c>
      <c r="O35" s="6" t="s">
        <v>7</v>
      </c>
      <c r="P35" s="6" t="s">
        <v>86</v>
      </c>
      <c r="Q35" s="20"/>
      <c r="R35" s="6"/>
      <c r="S35" s="6"/>
    </row>
    <row r="36" spans="1:25" hidden="1">
      <c r="A36" s="8" t="s">
        <v>34</v>
      </c>
      <c r="B36" s="8" t="s">
        <v>212</v>
      </c>
      <c r="C36" s="8">
        <v>10.81</v>
      </c>
      <c r="D36" s="8">
        <v>10.78</v>
      </c>
      <c r="E36" s="32">
        <v>11.05</v>
      </c>
      <c r="F36" s="8">
        <v>11.05</v>
      </c>
      <c r="G36" s="8">
        <v>10.51</v>
      </c>
      <c r="H36" s="8">
        <v>11.05</v>
      </c>
      <c r="I36" s="8">
        <v>11.06</v>
      </c>
      <c r="J36" s="8">
        <v>59329.599999999999</v>
      </c>
      <c r="K36" s="8">
        <v>6380.4</v>
      </c>
      <c r="M36" s="9">
        <v>2.5000000000000001E-2</v>
      </c>
      <c r="N36" s="9">
        <v>5.1400000000000001E-2</v>
      </c>
      <c r="O36" s="8" t="s">
        <v>12</v>
      </c>
      <c r="P36" s="8" t="s">
        <v>79</v>
      </c>
      <c r="Q36" s="21"/>
      <c r="R36" s="8"/>
      <c r="S36" s="8"/>
    </row>
    <row r="37" spans="1:25" hidden="1">
      <c r="A37" s="6" t="s">
        <v>32</v>
      </c>
      <c r="B37" s="6" t="s">
        <v>213</v>
      </c>
      <c r="C37" s="6">
        <v>7.22</v>
      </c>
      <c r="D37" s="6">
        <v>7.19</v>
      </c>
      <c r="E37" s="31">
        <v>7.51</v>
      </c>
      <c r="F37" s="6">
        <v>7.51</v>
      </c>
      <c r="G37" s="6">
        <v>7.16</v>
      </c>
      <c r="H37" s="6">
        <v>7.5</v>
      </c>
      <c r="I37" s="6">
        <v>7.51</v>
      </c>
      <c r="J37" s="6">
        <v>398883.5</v>
      </c>
      <c r="K37" s="6">
        <v>29027.7</v>
      </c>
      <c r="M37" s="7">
        <v>4.4499999999999998E-2</v>
      </c>
      <c r="N37" s="7">
        <v>4.8899999999999999E-2</v>
      </c>
      <c r="O37" s="6" t="s">
        <v>14</v>
      </c>
      <c r="P37" s="6" t="s">
        <v>77</v>
      </c>
      <c r="Q37" s="20"/>
      <c r="R37" s="6"/>
      <c r="S37" s="6"/>
    </row>
    <row r="38" spans="1:25" hidden="1">
      <c r="A38" s="8" t="s">
        <v>21</v>
      </c>
      <c r="B38" s="8" t="s">
        <v>214</v>
      </c>
      <c r="C38" s="8">
        <v>8.89</v>
      </c>
      <c r="D38" s="8">
        <v>8.89</v>
      </c>
      <c r="E38" s="32">
        <v>9.19</v>
      </c>
      <c r="F38" s="8">
        <v>9.19</v>
      </c>
      <c r="G38" s="8">
        <v>8.64</v>
      </c>
      <c r="H38" s="8">
        <v>9.18</v>
      </c>
      <c r="I38" s="8">
        <v>9.19</v>
      </c>
      <c r="J38" s="8">
        <v>117741.5</v>
      </c>
      <c r="K38" s="8">
        <v>10444.5</v>
      </c>
      <c r="M38" s="9">
        <v>3.3700000000000001E-2</v>
      </c>
      <c r="N38" s="11">
        <v>6.3700000000000007E-2</v>
      </c>
      <c r="O38" s="8" t="s">
        <v>2</v>
      </c>
      <c r="P38" s="8" t="s">
        <v>77</v>
      </c>
      <c r="Q38" s="21"/>
      <c r="R38" s="8"/>
      <c r="S38" s="8"/>
    </row>
    <row r="39" spans="1:25" hidden="1">
      <c r="A39" s="6" t="s">
        <v>122</v>
      </c>
      <c r="B39" s="6" t="s">
        <v>215</v>
      </c>
      <c r="C39" s="6">
        <v>9.75</v>
      </c>
      <c r="D39" s="6">
        <v>9.82</v>
      </c>
      <c r="E39" s="6">
        <v>10.039999999999999</v>
      </c>
      <c r="F39" s="6">
        <v>10.050000000000001</v>
      </c>
      <c r="G39" s="6">
        <v>9.75</v>
      </c>
      <c r="H39" s="6">
        <v>10.029999999999999</v>
      </c>
      <c r="I39" s="6">
        <v>10.039999999999999</v>
      </c>
      <c r="J39" s="6">
        <v>2860.8</v>
      </c>
      <c r="K39" s="6">
        <v>282.60000000000002</v>
      </c>
      <c r="M39" s="7">
        <v>2.24E-2</v>
      </c>
      <c r="N39" s="7">
        <v>3.0800000000000001E-2</v>
      </c>
      <c r="O39" s="6"/>
      <c r="P39" s="6"/>
      <c r="Q39" s="20"/>
      <c r="R39" s="6"/>
      <c r="S39" s="6"/>
    </row>
    <row r="40" spans="1:25">
      <c r="A40" s="8" t="s">
        <v>142</v>
      </c>
      <c r="B40" s="8" t="s">
        <v>216</v>
      </c>
      <c r="C40" s="8">
        <v>5.35</v>
      </c>
      <c r="D40" s="8">
        <v>5.3</v>
      </c>
      <c r="E40" s="8">
        <v>5.5</v>
      </c>
      <c r="F40" s="8">
        <v>5.51</v>
      </c>
      <c r="G40" s="8">
        <v>5.3</v>
      </c>
      <c r="H40" s="8">
        <v>5.5</v>
      </c>
      <c r="I40" s="8">
        <v>5.51</v>
      </c>
      <c r="J40" s="8">
        <v>18515.400000000001</v>
      </c>
      <c r="K40" s="8">
        <v>1002.6</v>
      </c>
      <c r="M40" s="9">
        <v>3.7699999999999997E-2</v>
      </c>
      <c r="N40" s="9">
        <v>3.9600000000000003E-2</v>
      </c>
      <c r="O40" s="8"/>
      <c r="P40" s="8"/>
      <c r="Q40" s="21"/>
      <c r="R40" s="8"/>
      <c r="S40" s="8"/>
      <c r="U40" s="14">
        <f>E40/V40-1</f>
        <v>-0.11433172302737515</v>
      </c>
      <c r="V40" s="4">
        <v>6.21</v>
      </c>
      <c r="X40" s="14">
        <f>E40/Y40-1</f>
        <v>0</v>
      </c>
      <c r="Y40" s="4">
        <v>5.5</v>
      </c>
    </row>
    <row r="41" spans="1:25">
      <c r="A41" s="6" t="s">
        <v>123</v>
      </c>
      <c r="B41" s="6" t="s">
        <v>217</v>
      </c>
      <c r="C41" s="6">
        <v>3.81</v>
      </c>
      <c r="D41" s="6">
        <v>3.83</v>
      </c>
      <c r="E41" s="6">
        <v>3.91</v>
      </c>
      <c r="F41" s="6">
        <v>3.92</v>
      </c>
      <c r="G41" s="6">
        <v>3.74</v>
      </c>
      <c r="H41" s="6">
        <v>3.91</v>
      </c>
      <c r="I41" s="6">
        <v>3.92</v>
      </c>
      <c r="J41" s="6">
        <v>36530.6</v>
      </c>
      <c r="K41" s="6">
        <v>1400.1</v>
      </c>
      <c r="M41" s="7">
        <v>2.0899999999999998E-2</v>
      </c>
      <c r="N41" s="7">
        <v>4.8099999999999997E-2</v>
      </c>
      <c r="O41" s="6"/>
      <c r="P41" s="6"/>
      <c r="Q41" s="20"/>
      <c r="R41" s="6"/>
      <c r="S41" s="6"/>
      <c r="U41" s="14">
        <f>E41/V41-1</f>
        <v>-0.25523809523809526</v>
      </c>
      <c r="V41" s="4">
        <v>5.25</v>
      </c>
      <c r="X41" s="14">
        <f>E41/Y41-1</f>
        <v>0</v>
      </c>
      <c r="Y41" s="4">
        <v>3.91</v>
      </c>
    </row>
    <row r="42" spans="1:25">
      <c r="A42" s="8" t="s">
        <v>171</v>
      </c>
      <c r="B42" s="8" t="s">
        <v>218</v>
      </c>
      <c r="C42" s="8">
        <v>4.5</v>
      </c>
      <c r="D42" s="8">
        <v>4.55</v>
      </c>
      <c r="E42" s="8">
        <v>4.68</v>
      </c>
      <c r="F42" s="8">
        <v>4.6900000000000004</v>
      </c>
      <c r="G42" s="8">
        <v>4.5</v>
      </c>
      <c r="H42" s="8">
        <v>4.67</v>
      </c>
      <c r="I42" s="8">
        <v>4.68</v>
      </c>
      <c r="J42" s="8">
        <v>24457.599999999999</v>
      </c>
      <c r="K42" s="8">
        <v>1127.0999999999999</v>
      </c>
      <c r="M42" s="9">
        <v>2.86E-2</v>
      </c>
      <c r="N42" s="9">
        <v>4.2200000000000001E-2</v>
      </c>
      <c r="O42" s="8"/>
      <c r="P42" s="8"/>
      <c r="Q42" s="21"/>
      <c r="R42" s="9"/>
      <c r="S42" s="8"/>
      <c r="U42" s="14">
        <f>E42/V42-1</f>
        <v>-0.18608695652173923</v>
      </c>
      <c r="V42" s="4">
        <v>5.75</v>
      </c>
      <c r="X42" s="14">
        <f>E42/Y42-1</f>
        <v>0</v>
      </c>
      <c r="Y42" s="4">
        <v>4.68</v>
      </c>
    </row>
    <row r="43" spans="1:25">
      <c r="A43" s="6">
        <v>1</v>
      </c>
      <c r="B43" s="6" t="s">
        <v>219</v>
      </c>
      <c r="C43" s="6"/>
      <c r="D43" s="6"/>
      <c r="E43" s="6"/>
      <c r="F43" s="6"/>
      <c r="G43" s="6"/>
      <c r="H43" s="6"/>
      <c r="I43" s="6"/>
      <c r="J43" s="6"/>
      <c r="K43" s="6"/>
      <c r="M43" s="7"/>
      <c r="N43" s="7"/>
      <c r="O43" s="6"/>
      <c r="P43" s="6"/>
      <c r="Q43" s="20"/>
      <c r="R43" s="6"/>
      <c r="S43" s="6"/>
    </row>
    <row r="44" spans="1:25">
      <c r="A44" s="8" t="s">
        <v>124</v>
      </c>
      <c r="B44" s="8" t="s">
        <v>220</v>
      </c>
      <c r="C44" s="8">
        <v>2.5099999999999998</v>
      </c>
      <c r="D44" s="8">
        <v>2.5099999999999998</v>
      </c>
      <c r="E44" s="8">
        <v>2.56</v>
      </c>
      <c r="F44" s="8">
        <v>2.57</v>
      </c>
      <c r="G44" s="8">
        <v>2.5</v>
      </c>
      <c r="H44" s="8">
        <v>2.56</v>
      </c>
      <c r="I44" s="8">
        <v>2.57</v>
      </c>
      <c r="J44" s="8">
        <v>67013.600000000006</v>
      </c>
      <c r="K44" s="8">
        <v>1693.1</v>
      </c>
      <c r="M44" s="9">
        <v>1.9900000000000001E-2</v>
      </c>
      <c r="N44" s="9">
        <v>2.8000000000000001E-2</v>
      </c>
      <c r="O44" s="8"/>
      <c r="P44" s="8"/>
      <c r="Q44" s="21">
        <v>4.26</v>
      </c>
      <c r="R44" s="9">
        <v>-0.66839999999999999</v>
      </c>
      <c r="S44" s="8"/>
      <c r="U44" s="14">
        <f>E44/V44-1</f>
        <v>-0.1202749140893471</v>
      </c>
      <c r="V44" s="4">
        <v>2.91</v>
      </c>
      <c r="X44" s="14">
        <f>E44/Y44-1</f>
        <v>0</v>
      </c>
      <c r="Y44" s="4">
        <v>2.56</v>
      </c>
    </row>
    <row r="45" spans="1:25">
      <c r="A45" s="6" t="s">
        <v>124</v>
      </c>
      <c r="B45" s="6" t="s">
        <v>220</v>
      </c>
      <c r="C45" s="6">
        <v>2.5099999999999998</v>
      </c>
      <c r="D45" s="6">
        <v>2.5099999999999998</v>
      </c>
      <c r="E45" s="6">
        <v>2.56</v>
      </c>
      <c r="F45" s="6">
        <v>2.57</v>
      </c>
      <c r="G45" s="6">
        <v>2.5</v>
      </c>
      <c r="H45" s="6">
        <v>2.56</v>
      </c>
      <c r="I45" s="6">
        <v>2.57</v>
      </c>
      <c r="J45" s="6">
        <v>67013.600000000006</v>
      </c>
      <c r="K45" s="6">
        <v>1693.1</v>
      </c>
      <c r="M45" s="7">
        <v>1.9900000000000001E-2</v>
      </c>
      <c r="N45" s="7">
        <v>2.8000000000000001E-2</v>
      </c>
      <c r="O45" s="6"/>
      <c r="P45" s="6"/>
      <c r="Q45" s="20">
        <v>3.8</v>
      </c>
      <c r="R45" s="7">
        <v>-0.48820000000000002</v>
      </c>
      <c r="S45" s="6"/>
    </row>
    <row r="46" spans="1:25">
      <c r="A46" s="8">
        <v>1</v>
      </c>
      <c r="B46" s="8" t="s">
        <v>219</v>
      </c>
      <c r="C46" s="8"/>
      <c r="D46" s="8"/>
      <c r="E46" s="8"/>
      <c r="F46" s="8"/>
      <c r="G46" s="8"/>
      <c r="H46" s="8"/>
      <c r="I46" s="8"/>
      <c r="J46" s="8"/>
      <c r="K46" s="8"/>
      <c r="M46" s="9"/>
      <c r="N46" s="9"/>
      <c r="O46" s="8"/>
      <c r="P46" s="8"/>
      <c r="Q46" s="21"/>
      <c r="R46" s="9"/>
      <c r="S46" s="8"/>
    </row>
    <row r="47" spans="1:25">
      <c r="A47" s="6" t="s">
        <v>125</v>
      </c>
      <c r="B47" s="6" t="s">
        <v>221</v>
      </c>
      <c r="C47" s="6">
        <v>3.4</v>
      </c>
      <c r="D47" s="6">
        <v>3.42</v>
      </c>
      <c r="E47" s="6">
        <v>3.48</v>
      </c>
      <c r="F47" s="6">
        <v>3.48</v>
      </c>
      <c r="G47" s="6">
        <v>3.39</v>
      </c>
      <c r="H47" s="6">
        <v>3.47</v>
      </c>
      <c r="I47" s="6">
        <v>3.48</v>
      </c>
      <c r="J47" s="6">
        <v>13049.6</v>
      </c>
      <c r="K47" s="6">
        <v>447.6</v>
      </c>
      <c r="M47" s="7">
        <v>1.7500000000000002E-2</v>
      </c>
      <c r="N47" s="7">
        <v>2.6499999999999999E-2</v>
      </c>
      <c r="O47" s="6"/>
      <c r="P47" s="6"/>
      <c r="Q47" s="20"/>
      <c r="R47" s="6"/>
      <c r="S47" s="6"/>
      <c r="U47" s="14">
        <f>E47/V47-1</f>
        <v>-8.4210526315789402E-2</v>
      </c>
      <c r="V47" s="4">
        <v>3.8</v>
      </c>
      <c r="X47" s="14">
        <f>E47/Y47-1</f>
        <v>0</v>
      </c>
      <c r="Y47" s="4">
        <v>3.48</v>
      </c>
    </row>
    <row r="48" spans="1:25">
      <c r="A48" s="8" t="s">
        <v>126</v>
      </c>
      <c r="B48" s="8" t="s">
        <v>222</v>
      </c>
      <c r="C48" s="8">
        <v>4.7</v>
      </c>
      <c r="D48" s="8">
        <v>4.7</v>
      </c>
      <c r="E48" s="8">
        <v>4.8</v>
      </c>
      <c r="F48" s="8">
        <v>4.8099999999999996</v>
      </c>
      <c r="G48" s="8">
        <v>4.6900000000000004</v>
      </c>
      <c r="H48" s="8">
        <v>4.8</v>
      </c>
      <c r="I48" s="8">
        <v>4.8099999999999996</v>
      </c>
      <c r="J48" s="8">
        <v>50689.8</v>
      </c>
      <c r="K48" s="8">
        <v>2401</v>
      </c>
      <c r="M48" s="9">
        <v>2.1299999999999999E-2</v>
      </c>
      <c r="N48" s="9">
        <v>2.5600000000000001E-2</v>
      </c>
      <c r="O48" s="8"/>
      <c r="P48" s="8"/>
      <c r="Q48" s="21"/>
      <c r="R48" s="8"/>
      <c r="S48" s="8"/>
      <c r="U48" s="14">
        <f>E48/V48-1</f>
        <v>-0.14742451154529312</v>
      </c>
      <c r="V48" s="4">
        <v>5.63</v>
      </c>
      <c r="X48" s="14">
        <f>E48/Y48-1</f>
        <v>0</v>
      </c>
      <c r="Y48" s="4">
        <v>4.8</v>
      </c>
    </row>
    <row r="49" spans="1:29">
      <c r="A49" s="6">
        <v>1</v>
      </c>
      <c r="B49" s="6" t="s">
        <v>219</v>
      </c>
      <c r="C49" s="6"/>
      <c r="D49" s="6"/>
      <c r="E49" s="6"/>
      <c r="F49" s="6"/>
      <c r="G49" s="6"/>
      <c r="H49" s="6"/>
      <c r="I49" s="6"/>
      <c r="J49" s="6"/>
      <c r="K49" s="6"/>
      <c r="M49" s="7"/>
      <c r="N49" s="7"/>
      <c r="O49" s="6"/>
      <c r="P49" s="6"/>
      <c r="Q49" s="20"/>
      <c r="R49" s="6"/>
      <c r="S49" s="6"/>
    </row>
    <row r="50" spans="1:29">
      <c r="A50" s="8" t="s">
        <v>141</v>
      </c>
      <c r="B50" s="8" t="s">
        <v>223</v>
      </c>
      <c r="C50" s="8">
        <v>21</v>
      </c>
      <c r="D50" s="8">
        <v>20.8</v>
      </c>
      <c r="E50" s="8">
        <v>21.3</v>
      </c>
      <c r="F50" s="8">
        <v>21.42</v>
      </c>
      <c r="G50" s="8">
        <v>20.5</v>
      </c>
      <c r="H50" s="8">
        <v>21.29</v>
      </c>
      <c r="I50" s="8">
        <v>21.31</v>
      </c>
      <c r="J50" s="8">
        <v>46869.8</v>
      </c>
      <c r="K50" s="8">
        <v>9849.7000000000007</v>
      </c>
      <c r="M50" s="9">
        <v>2.4E-2</v>
      </c>
      <c r="N50" s="9">
        <v>4.4900000000000002E-2</v>
      </c>
      <c r="O50" s="8"/>
      <c r="P50" s="8"/>
      <c r="Q50" s="21">
        <v>27.42</v>
      </c>
      <c r="R50" s="9">
        <v>-0.29070000000000001</v>
      </c>
      <c r="S50" s="13" t="s">
        <v>144</v>
      </c>
      <c r="U50" s="14">
        <f>E50/V50-1</f>
        <v>-0.11947085572550642</v>
      </c>
      <c r="V50" s="4">
        <v>24.19</v>
      </c>
      <c r="X50" s="14">
        <f>E50/Y50-1</f>
        <v>0</v>
      </c>
      <c r="Y50" s="4">
        <v>21.3</v>
      </c>
    </row>
    <row r="51" spans="1:29">
      <c r="A51" s="6" t="s">
        <v>140</v>
      </c>
      <c r="B51" s="6" t="s">
        <v>224</v>
      </c>
      <c r="C51" s="6">
        <v>26.35</v>
      </c>
      <c r="D51" s="6">
        <v>26.38</v>
      </c>
      <c r="E51" s="6">
        <v>26.38</v>
      </c>
      <c r="F51" s="6">
        <v>26.48</v>
      </c>
      <c r="G51" s="6">
        <v>25.69</v>
      </c>
      <c r="H51" s="6">
        <v>26.2</v>
      </c>
      <c r="I51" s="6">
        <v>26.35</v>
      </c>
      <c r="J51" s="6">
        <v>3347.1</v>
      </c>
      <c r="K51" s="6">
        <v>876.3</v>
      </c>
      <c r="M51" s="7">
        <v>0</v>
      </c>
      <c r="N51" s="7">
        <v>3.0800000000000001E-2</v>
      </c>
      <c r="O51" s="6"/>
      <c r="P51" s="6"/>
      <c r="Q51" s="20">
        <v>31.76</v>
      </c>
      <c r="R51" s="7">
        <v>-0.20710000000000001</v>
      </c>
      <c r="S51" s="12" t="s">
        <v>134</v>
      </c>
      <c r="U51" s="14">
        <f>E51/V51-1</f>
        <v>-4.5283018867925406E-3</v>
      </c>
      <c r="V51" s="4">
        <v>26.5</v>
      </c>
      <c r="X51" s="14">
        <f>E51/Y51-1</f>
        <v>0</v>
      </c>
      <c r="Y51" s="4">
        <v>26.38</v>
      </c>
    </row>
    <row r="52" spans="1:29">
      <c r="A52" s="8">
        <v>1</v>
      </c>
      <c r="B52" s="8" t="s">
        <v>219</v>
      </c>
      <c r="C52" s="8"/>
      <c r="D52" s="8"/>
      <c r="E52" s="8"/>
      <c r="F52" s="8"/>
      <c r="G52" s="8"/>
      <c r="H52" s="8"/>
      <c r="I52" s="8"/>
      <c r="J52" s="8"/>
      <c r="K52" s="8"/>
      <c r="M52" s="9"/>
      <c r="N52" s="9"/>
      <c r="O52" s="8"/>
      <c r="P52" s="8"/>
      <c r="Q52" s="21"/>
      <c r="R52" s="9"/>
      <c r="S52" s="13"/>
    </row>
    <row r="53" spans="1:29">
      <c r="A53" s="6" t="s">
        <v>139</v>
      </c>
      <c r="B53" s="6" t="s">
        <v>225</v>
      </c>
      <c r="C53" s="6">
        <v>1.75</v>
      </c>
      <c r="D53" s="6">
        <v>1.75</v>
      </c>
      <c r="E53" s="6">
        <v>1.8</v>
      </c>
      <c r="F53" s="6">
        <v>1.8</v>
      </c>
      <c r="G53" s="6">
        <v>1.74</v>
      </c>
      <c r="H53" s="6">
        <v>1.79</v>
      </c>
      <c r="I53" s="6">
        <v>1.8</v>
      </c>
      <c r="J53" s="6">
        <v>466639.3</v>
      </c>
      <c r="K53" s="6">
        <v>8228.5</v>
      </c>
      <c r="M53" s="7">
        <v>2.86E-2</v>
      </c>
      <c r="N53" s="7">
        <v>3.4500000000000003E-2</v>
      </c>
      <c r="O53" s="6"/>
      <c r="P53" s="6"/>
      <c r="Q53" s="20">
        <v>2.641</v>
      </c>
      <c r="R53" s="7">
        <v>-0.47099999999999997</v>
      </c>
      <c r="S53" s="29" t="s">
        <v>151</v>
      </c>
      <c r="U53" s="14">
        <f>E53/V53-1</f>
        <v>-0.15887850467289721</v>
      </c>
      <c r="V53" s="4">
        <v>2.14</v>
      </c>
      <c r="X53" s="14">
        <f>E53/Y53-1</f>
        <v>0</v>
      </c>
      <c r="Y53" s="4">
        <v>1.8</v>
      </c>
      <c r="Z53" s="34">
        <v>40894</v>
      </c>
      <c r="AA53" s="14">
        <f>E53/AB53-1</f>
        <v>-0.18918918918918926</v>
      </c>
      <c r="AB53" s="4">
        <v>2.2200000000000002</v>
      </c>
      <c r="AC53" s="34">
        <v>40863</v>
      </c>
    </row>
    <row r="54" spans="1:29" ht="13.5">
      <c r="A54" s="8" t="s">
        <v>139</v>
      </c>
      <c r="B54" s="8" t="s">
        <v>225</v>
      </c>
      <c r="C54" s="8">
        <v>1.75</v>
      </c>
      <c r="D54" s="8">
        <v>1.75</v>
      </c>
      <c r="E54" s="8">
        <v>1.8</v>
      </c>
      <c r="F54" s="8">
        <v>1.8</v>
      </c>
      <c r="G54" s="8">
        <v>1.74</v>
      </c>
      <c r="H54" s="8">
        <v>1.79</v>
      </c>
      <c r="I54" s="8">
        <v>1.8</v>
      </c>
      <c r="J54" s="8">
        <v>466639.3</v>
      </c>
      <c r="K54" s="8">
        <v>8228.5</v>
      </c>
      <c r="M54" s="9">
        <v>2.86E-2</v>
      </c>
      <c r="N54" s="9">
        <v>3.4500000000000003E-2</v>
      </c>
      <c r="O54" s="8"/>
      <c r="P54" s="8"/>
      <c r="Q54" s="21">
        <v>2.71</v>
      </c>
      <c r="R54" s="9">
        <v>-0.50949999999999995</v>
      </c>
      <c r="S54" s="30" t="s">
        <v>152</v>
      </c>
      <c r="T54" s="25"/>
      <c r="X54" s="14"/>
    </row>
    <row r="55" spans="1:29">
      <c r="A55" s="6" t="s">
        <v>139</v>
      </c>
      <c r="B55" s="6" t="s">
        <v>225</v>
      </c>
      <c r="C55" s="6">
        <v>1.75</v>
      </c>
      <c r="D55" s="6">
        <v>1.75</v>
      </c>
      <c r="E55" s="6">
        <v>1.8</v>
      </c>
      <c r="F55" s="6">
        <v>1.8</v>
      </c>
      <c r="G55" s="6">
        <v>1.74</v>
      </c>
      <c r="H55" s="6">
        <v>1.79</v>
      </c>
      <c r="I55" s="6">
        <v>1.8</v>
      </c>
      <c r="J55" s="6">
        <v>466639.3</v>
      </c>
      <c r="K55" s="6">
        <v>8228.5</v>
      </c>
      <c r="M55" s="7">
        <v>2.86E-2</v>
      </c>
      <c r="N55" s="7">
        <v>3.4500000000000003E-2</v>
      </c>
      <c r="O55" s="6"/>
      <c r="P55" s="6"/>
      <c r="Q55" s="20">
        <v>2.5499999999999998</v>
      </c>
      <c r="R55" s="7">
        <v>-0.42030000000000001</v>
      </c>
      <c r="S55" s="6" t="s">
        <v>148</v>
      </c>
      <c r="T55" s="17"/>
      <c r="U55" s="28"/>
      <c r="X55" s="14"/>
    </row>
    <row r="56" spans="1:29">
      <c r="A56" s="8" t="s">
        <v>139</v>
      </c>
      <c r="B56" s="8" t="s">
        <v>225</v>
      </c>
      <c r="C56" s="8">
        <v>1.75</v>
      </c>
      <c r="D56" s="8">
        <v>1.75</v>
      </c>
      <c r="E56" s="8">
        <v>1.8</v>
      </c>
      <c r="F56" s="8">
        <v>1.8</v>
      </c>
      <c r="G56" s="8">
        <v>1.74</v>
      </c>
      <c r="H56" s="8">
        <v>1.79</v>
      </c>
      <c r="I56" s="8">
        <v>1.8</v>
      </c>
      <c r="J56" s="8">
        <v>466639.3</v>
      </c>
      <c r="K56" s="8">
        <v>8228.5</v>
      </c>
      <c r="M56" s="9">
        <v>2.86E-2</v>
      </c>
      <c r="N56" s="9">
        <v>3.4500000000000003E-2</v>
      </c>
      <c r="O56" s="8"/>
      <c r="P56" s="8"/>
      <c r="Q56" s="21">
        <v>2.57</v>
      </c>
      <c r="R56" s="9">
        <v>-0.43149999999999999</v>
      </c>
      <c r="S56" s="8" t="s">
        <v>153</v>
      </c>
      <c r="U56" s="28"/>
      <c r="X56" s="14"/>
    </row>
    <row r="57" spans="1:29">
      <c r="A57" s="6">
        <v>1</v>
      </c>
      <c r="B57" s="6" t="s">
        <v>219</v>
      </c>
      <c r="C57" s="6"/>
      <c r="D57" s="6"/>
      <c r="E57" s="6"/>
      <c r="F57" s="6"/>
      <c r="G57" s="6"/>
      <c r="H57" s="6"/>
      <c r="I57" s="6"/>
      <c r="J57" s="6"/>
      <c r="K57" s="6"/>
      <c r="M57" s="7"/>
      <c r="N57" s="7"/>
      <c r="O57" s="6"/>
      <c r="P57" s="6"/>
      <c r="Q57" s="20"/>
      <c r="R57" s="7"/>
      <c r="S57" s="6"/>
    </row>
    <row r="58" spans="1:29">
      <c r="A58" s="8" t="s">
        <v>127</v>
      </c>
      <c r="B58" s="8" t="s">
        <v>226</v>
      </c>
      <c r="C58" s="8">
        <v>3.61</v>
      </c>
      <c r="D58" s="8">
        <v>3.61</v>
      </c>
      <c r="E58" s="8">
        <v>3.78</v>
      </c>
      <c r="F58" s="8">
        <v>3.78</v>
      </c>
      <c r="G58" s="8">
        <v>3.6</v>
      </c>
      <c r="H58" s="8">
        <v>3.77</v>
      </c>
      <c r="I58" s="8">
        <v>3.78</v>
      </c>
      <c r="J58" s="8">
        <v>188619.1</v>
      </c>
      <c r="K58" s="8">
        <v>6931.4</v>
      </c>
      <c r="M58" s="9">
        <v>4.7100000000000003E-2</v>
      </c>
      <c r="N58" s="9">
        <v>0.05</v>
      </c>
      <c r="O58" s="8"/>
      <c r="P58" s="8"/>
      <c r="Q58" s="21">
        <v>6.31</v>
      </c>
      <c r="R58" s="9">
        <v>-0.67369999999999997</v>
      </c>
      <c r="S58" s="24" t="s">
        <v>133</v>
      </c>
      <c r="U58" s="14">
        <f>E58/V58-1</f>
        <v>-0.1674008810572688</v>
      </c>
      <c r="V58" s="4">
        <v>4.54</v>
      </c>
      <c r="X58" s="14">
        <f>E58/Y58-1</f>
        <v>0</v>
      </c>
      <c r="Y58" s="4">
        <v>3.78</v>
      </c>
      <c r="Z58" s="34">
        <v>40894</v>
      </c>
      <c r="AA58" s="14">
        <f>E58/AB58-1</f>
        <v>-0.24096385542168686</v>
      </c>
      <c r="AB58" s="4">
        <v>4.9800000000000004</v>
      </c>
      <c r="AC58" s="34">
        <v>40851</v>
      </c>
    </row>
    <row r="59" spans="1:29">
      <c r="A59" s="6" t="s">
        <v>127</v>
      </c>
      <c r="B59" s="6" t="s">
        <v>226</v>
      </c>
      <c r="C59" s="6">
        <v>3.61</v>
      </c>
      <c r="D59" s="6">
        <v>3.61</v>
      </c>
      <c r="E59" s="6">
        <v>3.78</v>
      </c>
      <c r="F59" s="6">
        <v>3.78</v>
      </c>
      <c r="G59" s="6">
        <v>3.6</v>
      </c>
      <c r="H59" s="6">
        <v>3.77</v>
      </c>
      <c r="I59" s="6">
        <v>3.78</v>
      </c>
      <c r="J59" s="6">
        <v>188619.1</v>
      </c>
      <c r="K59" s="6">
        <v>6931.4</v>
      </c>
      <c r="M59" s="7">
        <v>4.7100000000000003E-2</v>
      </c>
      <c r="N59" s="7">
        <v>0.05</v>
      </c>
      <c r="O59" s="6"/>
      <c r="P59" s="6"/>
      <c r="Q59" s="20">
        <v>5.17</v>
      </c>
      <c r="R59" s="7">
        <v>-0.37130000000000002</v>
      </c>
      <c r="S59" s="12" t="s">
        <v>154</v>
      </c>
    </row>
    <row r="60" spans="1:29" ht="13.5">
      <c r="A60" s="8" t="s">
        <v>127</v>
      </c>
      <c r="B60" s="8" t="s">
        <v>226</v>
      </c>
      <c r="C60" s="8">
        <v>3.61</v>
      </c>
      <c r="D60" s="8">
        <v>3.61</v>
      </c>
      <c r="E60" s="8">
        <v>3.78</v>
      </c>
      <c r="F60" s="8">
        <v>3.78</v>
      </c>
      <c r="G60" s="8">
        <v>3.6</v>
      </c>
      <c r="H60" s="8">
        <v>3.77</v>
      </c>
      <c r="I60" s="8">
        <v>3.78</v>
      </c>
      <c r="J60" s="8">
        <v>188619.1</v>
      </c>
      <c r="K60" s="8">
        <v>6931.4</v>
      </c>
      <c r="M60" s="9">
        <v>4.7100000000000003E-2</v>
      </c>
      <c r="N60" s="9">
        <v>0.05</v>
      </c>
      <c r="O60" s="8"/>
      <c r="P60" s="8"/>
      <c r="Q60" s="21">
        <v>5.53</v>
      </c>
      <c r="R60" s="9">
        <v>-0.46679999999999999</v>
      </c>
      <c r="S60" s="13" t="s">
        <v>155</v>
      </c>
      <c r="T60" s="25"/>
    </row>
    <row r="61" spans="1:29" ht="13.5">
      <c r="A61" s="6" t="s">
        <v>127</v>
      </c>
      <c r="B61" s="6" t="s">
        <v>226</v>
      </c>
      <c r="C61" s="6">
        <v>3.61</v>
      </c>
      <c r="D61" s="6">
        <v>3.61</v>
      </c>
      <c r="E61" s="6">
        <v>3.78</v>
      </c>
      <c r="F61" s="6">
        <v>3.78</v>
      </c>
      <c r="G61" s="6">
        <v>3.6</v>
      </c>
      <c r="H61" s="6">
        <v>3.77</v>
      </c>
      <c r="I61" s="6">
        <v>3.78</v>
      </c>
      <c r="J61" s="6">
        <v>188619.1</v>
      </c>
      <c r="K61" s="6">
        <v>6931.4</v>
      </c>
      <c r="M61" s="7">
        <v>4.7100000000000003E-2</v>
      </c>
      <c r="N61" s="7">
        <v>0.05</v>
      </c>
      <c r="O61" s="6"/>
      <c r="P61" s="6"/>
      <c r="Q61" s="20">
        <v>4.49</v>
      </c>
      <c r="R61" s="7">
        <v>-0.19089999999999999</v>
      </c>
      <c r="S61" s="22" t="s">
        <v>179</v>
      </c>
      <c r="T61" s="25"/>
    </row>
    <row r="62" spans="1:29">
      <c r="A62" s="8">
        <v>1</v>
      </c>
      <c r="B62" s="8" t="s">
        <v>219</v>
      </c>
      <c r="C62" s="8"/>
      <c r="D62" s="8"/>
      <c r="E62" s="8"/>
      <c r="F62" s="8"/>
      <c r="G62" s="8"/>
      <c r="H62" s="8"/>
      <c r="I62" s="8"/>
      <c r="J62" s="8"/>
      <c r="K62" s="8"/>
      <c r="M62" s="9"/>
      <c r="N62" s="9"/>
      <c r="O62" s="8"/>
      <c r="P62" s="8"/>
      <c r="Q62" s="21"/>
      <c r="R62" s="9"/>
      <c r="S62" s="24"/>
    </row>
    <row r="63" spans="1:29">
      <c r="A63" s="6" t="s">
        <v>128</v>
      </c>
      <c r="B63" s="6" t="s">
        <v>227</v>
      </c>
      <c r="C63" s="6">
        <v>8.43</v>
      </c>
      <c r="D63" s="6">
        <v>8.41</v>
      </c>
      <c r="E63" s="6">
        <v>8.59</v>
      </c>
      <c r="F63" s="6">
        <v>8.6</v>
      </c>
      <c r="G63" s="6">
        <v>8.1300000000000008</v>
      </c>
      <c r="H63" s="6">
        <v>8.58</v>
      </c>
      <c r="I63" s="6">
        <v>8.59</v>
      </c>
      <c r="J63" s="6">
        <v>83020.7</v>
      </c>
      <c r="K63" s="6">
        <v>6944.4</v>
      </c>
      <c r="M63" s="7">
        <v>2.1399999999999999E-2</v>
      </c>
      <c r="N63" s="7">
        <v>5.7799999999999997E-2</v>
      </c>
      <c r="O63" s="6"/>
      <c r="P63" s="6"/>
      <c r="Q63" s="20">
        <v>11.99</v>
      </c>
      <c r="R63" s="7">
        <v>-0.39939999999999998</v>
      </c>
      <c r="S63" s="22" t="s">
        <v>178</v>
      </c>
      <c r="U63" s="14">
        <f>E63/V63-1</f>
        <v>-8.6170212765957488E-2</v>
      </c>
      <c r="V63" s="4">
        <v>9.4</v>
      </c>
      <c r="X63" s="14">
        <f>E63/Y63-1</f>
        <v>0</v>
      </c>
      <c r="Y63" s="4">
        <v>8.59</v>
      </c>
      <c r="Z63" s="34">
        <v>40894</v>
      </c>
      <c r="AA63" s="14">
        <f>E63/AB63-1</f>
        <v>-0.16763565891472876</v>
      </c>
      <c r="AB63" s="4">
        <v>10.32</v>
      </c>
      <c r="AC63" s="34">
        <v>40861</v>
      </c>
    </row>
    <row r="64" spans="1:29">
      <c r="A64" s="8">
        <v>1</v>
      </c>
      <c r="B64" s="8" t="s">
        <v>219</v>
      </c>
      <c r="C64" s="8"/>
      <c r="D64" s="8"/>
      <c r="E64" s="8"/>
      <c r="F64" s="8"/>
      <c r="G64" s="8"/>
      <c r="H64" s="8"/>
      <c r="I64" s="8"/>
      <c r="J64" s="8"/>
      <c r="K64" s="8"/>
      <c r="M64" s="9"/>
      <c r="N64" s="9"/>
      <c r="O64" s="8"/>
      <c r="P64" s="8"/>
      <c r="Q64" s="21"/>
      <c r="R64" s="9"/>
      <c r="S64" s="24"/>
    </row>
    <row r="65" spans="1:29">
      <c r="A65" s="6" t="s">
        <v>129</v>
      </c>
      <c r="B65" s="6" t="s">
        <v>228</v>
      </c>
      <c r="C65" s="6">
        <v>8.27</v>
      </c>
      <c r="D65" s="6">
        <v>8.32</v>
      </c>
      <c r="E65" s="6">
        <v>8.64</v>
      </c>
      <c r="F65" s="6">
        <v>8.65</v>
      </c>
      <c r="G65" s="6">
        <v>8.27</v>
      </c>
      <c r="H65" s="6">
        <v>8.64</v>
      </c>
      <c r="I65" s="6">
        <v>8.65</v>
      </c>
      <c r="J65" s="6">
        <v>29939.9</v>
      </c>
      <c r="K65" s="6">
        <v>2539.8000000000002</v>
      </c>
      <c r="M65" s="7">
        <v>3.85E-2</v>
      </c>
      <c r="N65" s="7">
        <v>4.5900000000000003E-2</v>
      </c>
      <c r="O65" s="6"/>
      <c r="P65" s="6"/>
      <c r="Q65" s="20">
        <v>12.72</v>
      </c>
      <c r="R65" s="7">
        <v>-0.47599999999999998</v>
      </c>
      <c r="S65" s="22" t="s">
        <v>177</v>
      </c>
      <c r="U65" s="14">
        <f>E65/V65-1</f>
        <v>-5.0549450549450481E-2</v>
      </c>
      <c r="V65" s="4">
        <v>9.1</v>
      </c>
      <c r="X65" s="14">
        <f>E65/Y65-1</f>
        <v>0</v>
      </c>
      <c r="Y65" s="4">
        <v>8.64</v>
      </c>
      <c r="Z65" s="34">
        <v>40894</v>
      </c>
      <c r="AA65" s="14">
        <f>E65/AB65-1</f>
        <v>-0.17635843660629169</v>
      </c>
      <c r="AB65" s="4">
        <v>10.49</v>
      </c>
      <c r="AC65" s="34">
        <v>40864</v>
      </c>
    </row>
    <row r="66" spans="1:29" ht="13.5">
      <c r="A66" s="8" t="s">
        <v>129</v>
      </c>
      <c r="B66" s="8" t="s">
        <v>228</v>
      </c>
      <c r="C66" s="8">
        <v>8.27</v>
      </c>
      <c r="D66" s="8">
        <v>8.32</v>
      </c>
      <c r="E66" s="8">
        <v>8.64</v>
      </c>
      <c r="F66" s="8">
        <v>8.65</v>
      </c>
      <c r="G66" s="8">
        <v>8.27</v>
      </c>
      <c r="H66" s="8">
        <v>8.64</v>
      </c>
      <c r="I66" s="8">
        <v>8.65</v>
      </c>
      <c r="J66" s="8">
        <v>29939.9</v>
      </c>
      <c r="K66" s="8">
        <v>2539.8000000000002</v>
      </c>
      <c r="M66" s="9">
        <v>3.85E-2</v>
      </c>
      <c r="N66" s="9">
        <v>4.5900000000000003E-2</v>
      </c>
      <c r="O66" s="8"/>
      <c r="P66" s="8"/>
      <c r="Q66" s="21">
        <v>13.3</v>
      </c>
      <c r="R66" s="9">
        <v>-0.54339999999999999</v>
      </c>
      <c r="S66" s="24" t="s">
        <v>143</v>
      </c>
      <c r="T66"/>
    </row>
    <row r="67" spans="1:29">
      <c r="A67" s="6" t="s">
        <v>129</v>
      </c>
      <c r="B67" s="6" t="s">
        <v>228</v>
      </c>
      <c r="C67" s="6">
        <v>8.27</v>
      </c>
      <c r="D67" s="6">
        <v>8.32</v>
      </c>
      <c r="E67" s="6">
        <v>8.64</v>
      </c>
      <c r="F67" s="6">
        <v>8.65</v>
      </c>
      <c r="G67" s="6">
        <v>8.27</v>
      </c>
      <c r="H67" s="6">
        <v>8.64</v>
      </c>
      <c r="I67" s="6">
        <v>8.65</v>
      </c>
      <c r="J67" s="6">
        <v>29939.9</v>
      </c>
      <c r="K67" s="6">
        <v>2539.8000000000002</v>
      </c>
      <c r="M67" s="7">
        <v>3.85E-2</v>
      </c>
      <c r="N67" s="7">
        <v>4.5900000000000003E-2</v>
      </c>
      <c r="O67" s="6"/>
      <c r="P67" s="6"/>
      <c r="Q67" s="20">
        <v>9.76</v>
      </c>
      <c r="R67" s="7">
        <v>-0.1326</v>
      </c>
      <c r="S67" s="12" t="s">
        <v>157</v>
      </c>
    </row>
    <row r="68" spans="1:29" ht="12">
      <c r="A68" s="8" t="s">
        <v>129</v>
      </c>
      <c r="B68" s="8" t="s">
        <v>228</v>
      </c>
      <c r="C68" s="8">
        <v>8.27</v>
      </c>
      <c r="D68" s="8">
        <v>8.32</v>
      </c>
      <c r="E68" s="8">
        <v>8.64</v>
      </c>
      <c r="F68" s="8">
        <v>8.65</v>
      </c>
      <c r="G68" s="8">
        <v>8.27</v>
      </c>
      <c r="H68" s="8">
        <v>8.64</v>
      </c>
      <c r="I68" s="8">
        <v>8.65</v>
      </c>
      <c r="J68" s="8">
        <v>29939.9</v>
      </c>
      <c r="K68" s="8">
        <v>2539.8000000000002</v>
      </c>
      <c r="M68" s="9">
        <v>3.85E-2</v>
      </c>
      <c r="N68" s="9">
        <v>4.5900000000000003E-2</v>
      </c>
      <c r="O68" s="8"/>
      <c r="P68" s="8"/>
      <c r="Q68" s="21">
        <v>10.039999999999999</v>
      </c>
      <c r="R68" s="9">
        <v>-0.1651</v>
      </c>
      <c r="S68" s="13" t="s">
        <v>156</v>
      </c>
      <c r="T68"/>
    </row>
    <row r="69" spans="1:29" ht="13.5">
      <c r="A69" s="6" t="s">
        <v>129</v>
      </c>
      <c r="B69" s="6" t="s">
        <v>228</v>
      </c>
      <c r="C69" s="6">
        <v>8.27</v>
      </c>
      <c r="D69" s="6">
        <v>8.32</v>
      </c>
      <c r="E69" s="6">
        <v>8.64</v>
      </c>
      <c r="F69" s="6">
        <v>8.65</v>
      </c>
      <c r="G69" s="6">
        <v>8.27</v>
      </c>
      <c r="H69" s="6">
        <v>8.64</v>
      </c>
      <c r="I69" s="6">
        <v>8.65</v>
      </c>
      <c r="J69" s="6">
        <v>29939.9</v>
      </c>
      <c r="K69" s="6">
        <v>2539.8000000000002</v>
      </c>
      <c r="M69" s="7">
        <v>3.85E-2</v>
      </c>
      <c r="N69" s="7">
        <v>4.5900000000000003E-2</v>
      </c>
      <c r="O69" s="6"/>
      <c r="P69" s="6"/>
      <c r="Q69" s="20">
        <v>9.8699999999999992</v>
      </c>
      <c r="R69" s="7">
        <v>-0.14530000000000001</v>
      </c>
      <c r="S69" s="22" t="s">
        <v>168</v>
      </c>
      <c r="T69" s="26"/>
    </row>
    <row r="70" spans="1:29">
      <c r="A70" s="8">
        <v>1</v>
      </c>
      <c r="B70" s="8" t="s">
        <v>219</v>
      </c>
      <c r="C70" s="8"/>
      <c r="D70" s="8"/>
      <c r="E70" s="8"/>
      <c r="F70" s="8"/>
      <c r="G70" s="8"/>
      <c r="H70" s="8"/>
      <c r="I70" s="8"/>
      <c r="J70" s="8"/>
      <c r="K70" s="8"/>
      <c r="M70" s="9"/>
      <c r="N70" s="9"/>
      <c r="O70" s="8"/>
      <c r="P70" s="8"/>
      <c r="Q70" s="21"/>
      <c r="R70" s="9"/>
      <c r="S70" s="13"/>
    </row>
    <row r="71" spans="1:29" ht="13.5">
      <c r="A71" s="6" t="s">
        <v>130</v>
      </c>
      <c r="B71" s="6" t="s">
        <v>229</v>
      </c>
      <c r="C71" s="6">
        <v>4.6900000000000004</v>
      </c>
      <c r="D71" s="6">
        <v>4.68</v>
      </c>
      <c r="E71" s="6">
        <v>4.8</v>
      </c>
      <c r="F71" s="6">
        <v>4.8</v>
      </c>
      <c r="G71" s="6">
        <v>4.68</v>
      </c>
      <c r="H71" s="6">
        <v>4.79</v>
      </c>
      <c r="I71" s="6">
        <v>4.8</v>
      </c>
      <c r="J71" s="6">
        <v>40807.5</v>
      </c>
      <c r="K71" s="6">
        <v>1929.9</v>
      </c>
      <c r="M71" s="7">
        <v>2.5600000000000001E-2</v>
      </c>
      <c r="N71" s="7">
        <v>2.5600000000000001E-2</v>
      </c>
      <c r="O71" s="6"/>
      <c r="P71" s="6"/>
      <c r="Q71" s="20">
        <v>7.1</v>
      </c>
      <c r="R71" s="7">
        <v>-0.48299999999999998</v>
      </c>
      <c r="S71" s="22" t="s">
        <v>158</v>
      </c>
      <c r="T71"/>
      <c r="U71" s="14">
        <f>E71/V71-1</f>
        <v>-5.1383399209486091E-2</v>
      </c>
      <c r="V71" s="4">
        <v>5.0599999999999996</v>
      </c>
      <c r="X71" s="14">
        <f>E71/Y71-1</f>
        <v>0</v>
      </c>
      <c r="Y71" s="4">
        <v>4.8</v>
      </c>
      <c r="Z71" s="34">
        <v>40894</v>
      </c>
      <c r="AA71" s="14">
        <f>E71/AB71-1</f>
        <v>-0.18644067796610175</v>
      </c>
      <c r="AB71" s="4">
        <v>5.9</v>
      </c>
      <c r="AC71" s="34">
        <v>40851</v>
      </c>
    </row>
    <row r="72" spans="1:29">
      <c r="A72" s="8" t="s">
        <v>130</v>
      </c>
      <c r="B72" s="8" t="s">
        <v>229</v>
      </c>
      <c r="C72" s="8">
        <v>4.6900000000000004</v>
      </c>
      <c r="D72" s="8">
        <v>4.68</v>
      </c>
      <c r="E72" s="8">
        <v>4.8</v>
      </c>
      <c r="F72" s="8">
        <v>4.8</v>
      </c>
      <c r="G72" s="8">
        <v>4.68</v>
      </c>
      <c r="H72" s="8">
        <v>4.79</v>
      </c>
      <c r="I72" s="8">
        <v>4.8</v>
      </c>
      <c r="J72" s="8">
        <v>40807.5</v>
      </c>
      <c r="K72" s="8">
        <v>1929.9</v>
      </c>
      <c r="M72" s="9">
        <v>2.5600000000000001E-2</v>
      </c>
      <c r="N72" s="9">
        <v>2.5600000000000001E-2</v>
      </c>
      <c r="O72" s="8"/>
      <c r="P72" s="8"/>
      <c r="Q72" s="21">
        <v>5</v>
      </c>
      <c r="R72" s="9">
        <v>-4.4400000000000002E-2</v>
      </c>
      <c r="S72" s="13" t="s">
        <v>159</v>
      </c>
      <c r="T72" s="17"/>
    </row>
    <row r="73" spans="1:29" ht="13.5">
      <c r="A73" s="6" t="s">
        <v>130</v>
      </c>
      <c r="B73" s="6" t="s">
        <v>229</v>
      </c>
      <c r="C73" s="6">
        <v>4.6900000000000004</v>
      </c>
      <c r="D73" s="6">
        <v>4.68</v>
      </c>
      <c r="E73" s="6">
        <v>4.8</v>
      </c>
      <c r="F73" s="6">
        <v>4.8</v>
      </c>
      <c r="G73" s="6">
        <v>4.68</v>
      </c>
      <c r="H73" s="6">
        <v>4.79</v>
      </c>
      <c r="I73" s="6">
        <v>4.8</v>
      </c>
      <c r="J73" s="6">
        <v>40807.5</v>
      </c>
      <c r="K73" s="6">
        <v>1929.9</v>
      </c>
      <c r="M73" s="7">
        <v>2.5600000000000001E-2</v>
      </c>
      <c r="N73" s="7">
        <v>2.5600000000000001E-2</v>
      </c>
      <c r="O73" s="6"/>
      <c r="P73" s="6"/>
      <c r="Q73" s="20">
        <v>5.13</v>
      </c>
      <c r="R73" s="7">
        <v>-7.1499999999999994E-2</v>
      </c>
      <c r="S73" s="12" t="s">
        <v>160</v>
      </c>
      <c r="T73" s="26"/>
    </row>
    <row r="74" spans="1:29">
      <c r="A74" s="8">
        <v>1</v>
      </c>
      <c r="B74" s="8" t="s">
        <v>219</v>
      </c>
      <c r="C74" s="8"/>
      <c r="D74" s="8"/>
      <c r="E74" s="8"/>
      <c r="F74" s="8"/>
      <c r="G74" s="8"/>
      <c r="H74" s="8"/>
      <c r="I74" s="8"/>
      <c r="J74" s="8"/>
      <c r="K74" s="8"/>
      <c r="M74" s="9"/>
      <c r="N74" s="9"/>
      <c r="O74" s="8"/>
      <c r="P74" s="8"/>
      <c r="Q74" s="21"/>
      <c r="R74" s="9"/>
      <c r="S74" s="13"/>
    </row>
    <row r="75" spans="1:29">
      <c r="A75" s="6" t="s">
        <v>131</v>
      </c>
      <c r="B75" s="6" t="s">
        <v>230</v>
      </c>
      <c r="C75" s="6">
        <v>3.8</v>
      </c>
      <c r="D75" s="6">
        <v>3.8</v>
      </c>
      <c r="E75" s="6">
        <v>3.86</v>
      </c>
      <c r="F75" s="6">
        <v>3.9</v>
      </c>
      <c r="G75" s="6">
        <v>3.8</v>
      </c>
      <c r="H75" s="6">
        <v>3.86</v>
      </c>
      <c r="I75" s="6">
        <v>3.87</v>
      </c>
      <c r="J75" s="6">
        <v>57112.7</v>
      </c>
      <c r="K75" s="6">
        <v>2195.8000000000002</v>
      </c>
      <c r="M75" s="7">
        <v>1.5800000000000002E-2</v>
      </c>
      <c r="N75" s="7">
        <v>2.63E-2</v>
      </c>
      <c r="O75" s="6"/>
      <c r="P75" s="6"/>
      <c r="Q75" s="20">
        <v>6.18</v>
      </c>
      <c r="R75" s="7">
        <v>-0.60519999999999996</v>
      </c>
      <c r="S75" s="27" t="s">
        <v>176</v>
      </c>
      <c r="U75" s="14">
        <f>E75/V75-1</f>
        <v>-0.18046709129511684</v>
      </c>
      <c r="V75" s="4">
        <v>4.71</v>
      </c>
      <c r="X75" s="14">
        <f>E75/Y75-1</f>
        <v>0</v>
      </c>
      <c r="Y75" s="4">
        <v>3.86</v>
      </c>
      <c r="Z75" s="34">
        <v>40894</v>
      </c>
      <c r="AA75" s="14">
        <f>E75/AB75-1</f>
        <v>-0.22334004024144871</v>
      </c>
      <c r="AB75" s="4">
        <v>4.97</v>
      </c>
      <c r="AC75" s="34">
        <v>40862</v>
      </c>
    </row>
    <row r="76" spans="1:29">
      <c r="A76" s="8" t="s">
        <v>131</v>
      </c>
      <c r="B76" s="8" t="s">
        <v>230</v>
      </c>
      <c r="C76" s="8">
        <v>3.8</v>
      </c>
      <c r="D76" s="8">
        <v>3.8</v>
      </c>
      <c r="E76" s="8">
        <v>3.86</v>
      </c>
      <c r="F76" s="8">
        <v>3.9</v>
      </c>
      <c r="G76" s="8">
        <v>3.8</v>
      </c>
      <c r="H76" s="8">
        <v>3.86</v>
      </c>
      <c r="I76" s="8">
        <v>3.87</v>
      </c>
      <c r="J76" s="8">
        <v>57112.7</v>
      </c>
      <c r="K76" s="8">
        <v>2195.8000000000002</v>
      </c>
      <c r="M76" s="9">
        <v>1.5800000000000002E-2</v>
      </c>
      <c r="N76" s="9">
        <v>2.63E-2</v>
      </c>
      <c r="O76" s="8"/>
      <c r="P76" s="8"/>
      <c r="Q76" s="21">
        <v>6.55</v>
      </c>
      <c r="R76" s="9">
        <v>-0.70130000000000003</v>
      </c>
      <c r="S76" s="23" t="s">
        <v>145</v>
      </c>
      <c r="T76" s="17"/>
    </row>
    <row r="77" spans="1:29">
      <c r="A77" s="6" t="s">
        <v>131</v>
      </c>
      <c r="B77" s="6" t="s">
        <v>230</v>
      </c>
      <c r="C77" s="6">
        <v>3.8</v>
      </c>
      <c r="D77" s="6">
        <v>3.8</v>
      </c>
      <c r="E77" s="6">
        <v>3.86</v>
      </c>
      <c r="F77" s="6">
        <v>3.9</v>
      </c>
      <c r="G77" s="6">
        <v>3.8</v>
      </c>
      <c r="H77" s="6">
        <v>3.86</v>
      </c>
      <c r="I77" s="6">
        <v>3.87</v>
      </c>
      <c r="J77" s="6">
        <v>57112.7</v>
      </c>
      <c r="K77" s="6">
        <v>2195.8000000000002</v>
      </c>
      <c r="M77" s="7">
        <v>1.5800000000000002E-2</v>
      </c>
      <c r="N77" s="7">
        <v>2.63E-2</v>
      </c>
      <c r="O77" s="6"/>
      <c r="P77" s="6"/>
      <c r="Q77" s="20">
        <v>5.37</v>
      </c>
      <c r="R77" s="7">
        <v>-0.39479999999999998</v>
      </c>
      <c r="S77" s="12" t="s">
        <v>150</v>
      </c>
      <c r="T77" s="17"/>
    </row>
    <row r="78" spans="1:29">
      <c r="A78" s="8" t="s">
        <v>131</v>
      </c>
      <c r="B78" s="8" t="s">
        <v>230</v>
      </c>
      <c r="C78" s="8">
        <v>3.8</v>
      </c>
      <c r="D78" s="8">
        <v>3.8</v>
      </c>
      <c r="E78" s="8">
        <v>3.86</v>
      </c>
      <c r="F78" s="8">
        <v>3.9</v>
      </c>
      <c r="G78" s="8">
        <v>3.8</v>
      </c>
      <c r="H78" s="8">
        <v>3.86</v>
      </c>
      <c r="I78" s="8">
        <v>3.87</v>
      </c>
      <c r="J78" s="8">
        <v>57112.7</v>
      </c>
      <c r="K78" s="8">
        <v>2195.8000000000002</v>
      </c>
      <c r="M78" s="9">
        <v>1.5800000000000002E-2</v>
      </c>
      <c r="N78" s="9">
        <v>2.63E-2</v>
      </c>
      <c r="O78" s="8"/>
      <c r="P78" s="8"/>
      <c r="Q78" s="21">
        <v>5.01</v>
      </c>
      <c r="R78" s="9">
        <v>-0.30130000000000001</v>
      </c>
      <c r="S78" s="13" t="s">
        <v>162</v>
      </c>
      <c r="T78" s="17"/>
    </row>
    <row r="79" spans="1:29" ht="13.5">
      <c r="A79" s="6" t="s">
        <v>131</v>
      </c>
      <c r="B79" s="6" t="s">
        <v>230</v>
      </c>
      <c r="C79" s="6">
        <v>3.8</v>
      </c>
      <c r="D79" s="6">
        <v>3.8</v>
      </c>
      <c r="E79" s="6">
        <v>3.86</v>
      </c>
      <c r="F79" s="6">
        <v>3.9</v>
      </c>
      <c r="G79" s="6">
        <v>3.8</v>
      </c>
      <c r="H79" s="6">
        <v>3.86</v>
      </c>
      <c r="I79" s="6">
        <v>3.87</v>
      </c>
      <c r="J79" s="6">
        <v>57112.7</v>
      </c>
      <c r="K79" s="6">
        <v>2195.8000000000002</v>
      </c>
      <c r="M79" s="7">
        <v>1.5800000000000002E-2</v>
      </c>
      <c r="N79" s="7">
        <v>2.63E-2</v>
      </c>
      <c r="O79" s="6"/>
      <c r="P79" s="6"/>
      <c r="Q79" s="20">
        <v>5.08</v>
      </c>
      <c r="R79" s="7">
        <v>-0.31950000000000001</v>
      </c>
      <c r="S79" s="22" t="s">
        <v>161</v>
      </c>
      <c r="T79" s="26" t="s">
        <v>167</v>
      </c>
    </row>
    <row r="80" spans="1:29" ht="13.5">
      <c r="A80" s="8" t="s">
        <v>131</v>
      </c>
      <c r="B80" s="8" t="s">
        <v>230</v>
      </c>
      <c r="C80" s="8">
        <v>3.8</v>
      </c>
      <c r="D80" s="8">
        <v>3.8</v>
      </c>
      <c r="E80" s="8">
        <v>3.86</v>
      </c>
      <c r="F80" s="8">
        <v>3.9</v>
      </c>
      <c r="G80" s="8">
        <v>3.8</v>
      </c>
      <c r="H80" s="8">
        <v>3.86</v>
      </c>
      <c r="I80" s="8">
        <v>3.87</v>
      </c>
      <c r="J80" s="8">
        <v>57112.7</v>
      </c>
      <c r="K80" s="8">
        <v>2195.8000000000002</v>
      </c>
      <c r="M80" s="9">
        <v>1.5800000000000002E-2</v>
      </c>
      <c r="N80" s="9">
        <v>2.63E-2</v>
      </c>
      <c r="O80" s="8"/>
      <c r="P80" s="8"/>
      <c r="Q80" s="21">
        <v>4.68</v>
      </c>
      <c r="R80" s="9">
        <v>-0.21560000000000001</v>
      </c>
      <c r="S80" s="24" t="s">
        <v>175</v>
      </c>
      <c r="T80" s="26" t="s">
        <v>167</v>
      </c>
    </row>
    <row r="81" spans="1:29">
      <c r="A81" s="6">
        <v>1</v>
      </c>
      <c r="B81" s="6" t="s">
        <v>219</v>
      </c>
      <c r="C81" s="6"/>
      <c r="D81" s="6"/>
      <c r="E81" s="6"/>
      <c r="F81" s="6"/>
      <c r="G81" s="6"/>
      <c r="H81" s="6"/>
      <c r="I81" s="6"/>
      <c r="J81" s="6"/>
      <c r="K81" s="6"/>
      <c r="M81" s="7"/>
      <c r="N81" s="7"/>
      <c r="O81" s="6"/>
      <c r="P81" s="6"/>
      <c r="Q81" s="20"/>
      <c r="R81" s="7"/>
      <c r="S81" s="12"/>
    </row>
    <row r="82" spans="1:29">
      <c r="A82" s="8" t="s">
        <v>132</v>
      </c>
      <c r="B82" s="8" t="s">
        <v>231</v>
      </c>
      <c r="C82" s="8">
        <v>3.44</v>
      </c>
      <c r="D82" s="8">
        <v>3.44</v>
      </c>
      <c r="E82" s="8">
        <v>3.46</v>
      </c>
      <c r="F82" s="8">
        <v>3.49</v>
      </c>
      <c r="G82" s="8">
        <v>3.32</v>
      </c>
      <c r="H82" s="8">
        <v>3.46</v>
      </c>
      <c r="I82" s="8">
        <v>3.47</v>
      </c>
      <c r="J82" s="8">
        <v>418726</v>
      </c>
      <c r="K82" s="8">
        <v>14266.1</v>
      </c>
      <c r="M82" s="9">
        <v>5.7999999999999996E-3</v>
      </c>
      <c r="N82" s="9">
        <v>5.1200000000000002E-2</v>
      </c>
      <c r="O82" s="8"/>
      <c r="P82" s="8"/>
      <c r="Q82" s="21">
        <v>5.69</v>
      </c>
      <c r="R82" s="9">
        <v>-0.64880000000000004</v>
      </c>
      <c r="S82" s="24" t="s">
        <v>134</v>
      </c>
      <c r="U82" s="14">
        <f>E82/V82-1</f>
        <v>-7.4866310160427885E-2</v>
      </c>
      <c r="V82" s="4">
        <v>3.74</v>
      </c>
      <c r="X82" s="14">
        <f>E82/Y82-1</f>
        <v>0</v>
      </c>
      <c r="Y82" s="4">
        <v>3.46</v>
      </c>
      <c r="Z82" s="34">
        <v>40894</v>
      </c>
      <c r="AA82" s="14">
        <f>E82/AB82-1</f>
        <v>-0.21184510250569466</v>
      </c>
      <c r="AB82" s="4">
        <v>4.3899999999999997</v>
      </c>
      <c r="AC82" s="34">
        <v>40851</v>
      </c>
    </row>
    <row r="83" spans="1:29" ht="13.5">
      <c r="A83" s="6" t="s">
        <v>132</v>
      </c>
      <c r="B83" s="6" t="s">
        <v>231</v>
      </c>
      <c r="C83" s="6">
        <v>3.44</v>
      </c>
      <c r="D83" s="6">
        <v>3.44</v>
      </c>
      <c r="E83" s="6">
        <v>3.46</v>
      </c>
      <c r="F83" s="6">
        <v>3.49</v>
      </c>
      <c r="G83" s="6">
        <v>3.32</v>
      </c>
      <c r="H83" s="6">
        <v>3.46</v>
      </c>
      <c r="I83" s="6">
        <v>3.47</v>
      </c>
      <c r="J83" s="6">
        <v>418726</v>
      </c>
      <c r="K83" s="6">
        <v>14266.1</v>
      </c>
      <c r="M83" s="7">
        <v>5.7999999999999996E-3</v>
      </c>
      <c r="N83" s="7">
        <v>5.1200000000000002E-2</v>
      </c>
      <c r="O83" s="6"/>
      <c r="P83" s="6"/>
      <c r="Q83" s="20">
        <v>4</v>
      </c>
      <c r="R83" s="7">
        <v>-0.15909999999999999</v>
      </c>
      <c r="S83" s="27" t="s">
        <v>164</v>
      </c>
      <c r="T83" s="26"/>
    </row>
    <row r="84" spans="1:29">
      <c r="A84" s="8" t="s">
        <v>132</v>
      </c>
      <c r="B84" s="8" t="s">
        <v>231</v>
      </c>
      <c r="C84" s="8">
        <v>3.44</v>
      </c>
      <c r="D84" s="8">
        <v>3.44</v>
      </c>
      <c r="E84" s="8">
        <v>3.46</v>
      </c>
      <c r="F84" s="8">
        <v>3.49</v>
      </c>
      <c r="G84" s="8">
        <v>3.32</v>
      </c>
      <c r="H84" s="8">
        <v>3.46</v>
      </c>
      <c r="I84" s="8">
        <v>3.47</v>
      </c>
      <c r="J84" s="8">
        <v>418726</v>
      </c>
      <c r="K84" s="8">
        <v>14266.1</v>
      </c>
      <c r="M84" s="9">
        <v>5.7999999999999996E-3</v>
      </c>
      <c r="N84" s="9">
        <v>5.1200000000000002E-2</v>
      </c>
      <c r="O84" s="8"/>
      <c r="P84" s="8"/>
      <c r="Q84" s="21">
        <v>3.97</v>
      </c>
      <c r="R84" s="9">
        <v>-0.15040000000000001</v>
      </c>
      <c r="S84" s="13" t="s">
        <v>146</v>
      </c>
    </row>
    <row r="85" spans="1:29">
      <c r="A85" s="6" t="s">
        <v>132</v>
      </c>
      <c r="B85" s="6" t="s">
        <v>231</v>
      </c>
      <c r="C85" s="6">
        <v>3.44</v>
      </c>
      <c r="D85" s="6">
        <v>3.44</v>
      </c>
      <c r="E85" s="6">
        <v>3.46</v>
      </c>
      <c r="F85" s="6">
        <v>3.49</v>
      </c>
      <c r="G85" s="6">
        <v>3.32</v>
      </c>
      <c r="H85" s="6">
        <v>3.46</v>
      </c>
      <c r="I85" s="6">
        <v>3.47</v>
      </c>
      <c r="J85" s="6">
        <v>418726</v>
      </c>
      <c r="K85" s="6">
        <v>14266.1</v>
      </c>
      <c r="M85" s="7">
        <v>5.7999999999999996E-3</v>
      </c>
      <c r="N85" s="7">
        <v>5.1200000000000002E-2</v>
      </c>
      <c r="O85" s="6"/>
      <c r="P85" s="6"/>
      <c r="Q85" s="20">
        <v>4.0599999999999996</v>
      </c>
      <c r="R85" s="7">
        <v>-0.17649999999999999</v>
      </c>
      <c r="S85" s="12" t="s">
        <v>163</v>
      </c>
    </row>
    <row r="86" spans="1:29">
      <c r="A86" s="8">
        <v>1</v>
      </c>
      <c r="B86" s="8" t="s">
        <v>219</v>
      </c>
      <c r="C86" s="8"/>
      <c r="D86" s="8"/>
      <c r="E86" s="8"/>
      <c r="F86" s="8"/>
      <c r="G86" s="8"/>
      <c r="H86" s="8"/>
      <c r="I86" s="8"/>
      <c r="J86" s="8"/>
      <c r="K86" s="8"/>
      <c r="M86" s="9"/>
      <c r="N86" s="9"/>
      <c r="O86" s="8"/>
      <c r="P86" s="8"/>
      <c r="Q86" s="21"/>
      <c r="R86" s="9"/>
      <c r="S86" s="13"/>
    </row>
    <row r="87" spans="1:29" ht="13.5">
      <c r="A87" s="6" t="s">
        <v>149</v>
      </c>
      <c r="B87" s="6" t="s">
        <v>232</v>
      </c>
      <c r="C87" s="6">
        <v>7.27</v>
      </c>
      <c r="D87" s="6">
        <v>7.26</v>
      </c>
      <c r="E87" s="6">
        <v>7.48</v>
      </c>
      <c r="F87" s="6">
        <v>7.5</v>
      </c>
      <c r="G87" s="6">
        <v>7.23</v>
      </c>
      <c r="H87" s="6">
        <v>7.48</v>
      </c>
      <c r="I87" s="6">
        <v>7.49</v>
      </c>
      <c r="J87" s="6">
        <v>31069.5</v>
      </c>
      <c r="K87" s="6">
        <v>2282</v>
      </c>
      <c r="M87" s="7">
        <v>3.0300000000000001E-2</v>
      </c>
      <c r="N87" s="7">
        <v>3.73E-2</v>
      </c>
      <c r="O87" s="6"/>
      <c r="P87" s="6"/>
      <c r="Q87" s="20">
        <v>10</v>
      </c>
      <c r="R87" s="7">
        <v>-0.34039999999999998</v>
      </c>
      <c r="S87" s="22" t="s">
        <v>173</v>
      </c>
      <c r="T87" s="26" t="s">
        <v>165</v>
      </c>
      <c r="U87" s="14">
        <f>E87/V87-1</f>
        <v>-0.252</v>
      </c>
      <c r="V87" s="4">
        <v>10</v>
      </c>
      <c r="X87" s="14">
        <f>E87/Y87-1</f>
        <v>0</v>
      </c>
      <c r="Y87" s="4">
        <v>7.48</v>
      </c>
      <c r="Z87" s="34">
        <v>40894</v>
      </c>
      <c r="AA87" s="14">
        <f>E87/AB87-1</f>
        <v>-0.30288909599254421</v>
      </c>
      <c r="AB87" s="4">
        <v>10.73</v>
      </c>
      <c r="AC87" s="34">
        <v>40862</v>
      </c>
    </row>
    <row r="88" spans="1:29" ht="13.5">
      <c r="A88" s="8" t="s">
        <v>149</v>
      </c>
      <c r="B88" s="8" t="s">
        <v>232</v>
      </c>
      <c r="C88" s="8">
        <v>7.27</v>
      </c>
      <c r="D88" s="8">
        <v>7.26</v>
      </c>
      <c r="E88" s="8">
        <v>7.48</v>
      </c>
      <c r="F88" s="8">
        <v>7.5</v>
      </c>
      <c r="G88" s="8">
        <v>7.23</v>
      </c>
      <c r="H88" s="8">
        <v>7.48</v>
      </c>
      <c r="I88" s="8">
        <v>7.49</v>
      </c>
      <c r="J88" s="8">
        <v>31069.5</v>
      </c>
      <c r="K88" s="8">
        <v>2282</v>
      </c>
      <c r="M88" s="9">
        <v>3.0300000000000001E-2</v>
      </c>
      <c r="N88" s="9">
        <v>3.73E-2</v>
      </c>
      <c r="O88" s="8"/>
      <c r="P88" s="8"/>
      <c r="Q88" s="21">
        <v>9.4</v>
      </c>
      <c r="R88" s="9">
        <v>-0.26</v>
      </c>
      <c r="S88" s="24" t="s">
        <v>174</v>
      </c>
      <c r="T88" s="26" t="s">
        <v>165</v>
      </c>
      <c r="U88" s="14">
        <f>E88/V88-1</f>
        <v>-0.252</v>
      </c>
      <c r="V88" s="4">
        <v>10</v>
      </c>
    </row>
    <row r="89" spans="1:29">
      <c r="A89" s="6">
        <v>1</v>
      </c>
      <c r="B89" s="6" t="s">
        <v>219</v>
      </c>
      <c r="C89" s="6"/>
      <c r="D89" s="6"/>
      <c r="E89" s="6"/>
      <c r="F89" s="6"/>
      <c r="G89" s="6"/>
      <c r="H89" s="6"/>
      <c r="I89" s="6"/>
      <c r="J89" s="6"/>
      <c r="K89" s="6"/>
      <c r="M89" s="7"/>
      <c r="N89" s="7"/>
      <c r="O89" s="6"/>
      <c r="P89" s="6"/>
      <c r="Q89" s="20"/>
      <c r="R89" s="7"/>
      <c r="S89" s="12"/>
    </row>
    <row r="90" spans="1:29">
      <c r="A90" s="8" t="s">
        <v>147</v>
      </c>
      <c r="B90" s="8" t="s">
        <v>233</v>
      </c>
      <c r="C90" s="8">
        <v>6.24</v>
      </c>
      <c r="D90" s="8">
        <v>6.25</v>
      </c>
      <c r="E90" s="8">
        <v>6.45</v>
      </c>
      <c r="F90" s="8">
        <v>6.46</v>
      </c>
      <c r="G90" s="8">
        <v>6.22</v>
      </c>
      <c r="H90" s="8">
        <v>6.44</v>
      </c>
      <c r="I90" s="8">
        <v>6.45</v>
      </c>
      <c r="J90" s="8">
        <v>90885.7</v>
      </c>
      <c r="K90" s="8">
        <v>5765</v>
      </c>
      <c r="M90" s="9">
        <v>3.2000000000000001E-2</v>
      </c>
      <c r="N90" s="9">
        <v>3.8600000000000002E-2</v>
      </c>
      <c r="O90" s="8"/>
      <c r="P90" s="8"/>
      <c r="Q90" s="21">
        <v>6.11</v>
      </c>
      <c r="R90" s="9">
        <v>5.0299999999999997E-2</v>
      </c>
      <c r="S90" s="13" t="s">
        <v>166</v>
      </c>
      <c r="U90" s="14">
        <f>E90/V90-1</f>
        <v>7.8125E-3</v>
      </c>
      <c r="V90" s="4">
        <v>6.4</v>
      </c>
      <c r="Y90" s="4">
        <v>6.45</v>
      </c>
      <c r="Z90" s="34">
        <v>40894</v>
      </c>
    </row>
    <row r="91" spans="1:29">
      <c r="A91" s="6" t="s">
        <v>135</v>
      </c>
      <c r="B91" s="6" t="s">
        <v>219</v>
      </c>
      <c r="C91" s="6"/>
      <c r="D91" s="6"/>
      <c r="E91" s="6"/>
      <c r="F91" s="6"/>
      <c r="G91" s="6"/>
      <c r="H91" s="6"/>
      <c r="I91" s="6"/>
      <c r="J91" s="6"/>
      <c r="K91" s="6"/>
      <c r="M91" s="7"/>
      <c r="N91" s="6"/>
      <c r="O91" s="6"/>
      <c r="P91" s="6"/>
      <c r="Q91" s="20"/>
      <c r="R91" s="6"/>
      <c r="S91" s="6"/>
    </row>
    <row r="92" spans="1:29" ht="29.45" customHeight="1">
      <c r="A92" s="8" t="s">
        <v>139</v>
      </c>
      <c r="B92" s="8" t="s">
        <v>225</v>
      </c>
      <c r="C92" s="8">
        <v>1.75</v>
      </c>
      <c r="D92" s="8">
        <v>1.75</v>
      </c>
      <c r="E92" s="8">
        <v>1.8</v>
      </c>
      <c r="F92" s="8">
        <v>1.8</v>
      </c>
      <c r="G92" s="8">
        <v>1.74</v>
      </c>
      <c r="H92" s="8">
        <v>1.79</v>
      </c>
      <c r="I92" s="8">
        <v>1.8</v>
      </c>
      <c r="J92" s="8">
        <v>466639.3</v>
      </c>
      <c r="K92" s="8">
        <v>8228.5</v>
      </c>
      <c r="M92" s="9">
        <v>2.86E-2</v>
      </c>
      <c r="N92" s="9">
        <v>3.4500000000000003E-2</v>
      </c>
      <c r="O92" s="8"/>
      <c r="P92" s="8"/>
      <c r="Q92" s="21">
        <f>U92*60/72</f>
        <v>2.6416666666666666</v>
      </c>
      <c r="R92" s="9">
        <v>-0.47139999999999999</v>
      </c>
      <c r="S92" s="8">
        <v>3000</v>
      </c>
      <c r="T92" s="16">
        <f>3000*Q92*R92</f>
        <v>-3735.8449999999998</v>
      </c>
      <c r="U92" s="14">
        <v>3.17</v>
      </c>
    </row>
    <row r="93" spans="1:29">
      <c r="A93" s="6" t="s">
        <v>127</v>
      </c>
      <c r="B93" s="6" t="s">
        <v>226</v>
      </c>
      <c r="C93" s="6">
        <v>3.61</v>
      </c>
      <c r="D93" s="6">
        <v>3.61</v>
      </c>
      <c r="E93" s="6">
        <v>3.78</v>
      </c>
      <c r="F93" s="6">
        <v>3.78</v>
      </c>
      <c r="G93" s="6">
        <v>3.6</v>
      </c>
      <c r="H93" s="6">
        <v>3.77</v>
      </c>
      <c r="I93" s="6">
        <v>3.78</v>
      </c>
      <c r="J93" s="6">
        <v>188619.1</v>
      </c>
      <c r="K93" s="6">
        <v>6931.4</v>
      </c>
      <c r="M93" s="7">
        <v>4.7100000000000003E-2</v>
      </c>
      <c r="N93" s="7">
        <v>0.05</v>
      </c>
      <c r="O93" s="6"/>
      <c r="P93" s="6"/>
      <c r="Q93" s="20">
        <v>6.2</v>
      </c>
      <c r="R93" s="7">
        <v>-0.64449999999999996</v>
      </c>
      <c r="S93" s="12" t="s">
        <v>138</v>
      </c>
      <c r="T93" s="16">
        <f>1500*Q93*R93</f>
        <v>-5993.8499999999995</v>
      </c>
    </row>
    <row r="94" spans="1:29">
      <c r="A94" s="8" t="s">
        <v>136</v>
      </c>
      <c r="B94" s="8" t="s">
        <v>219</v>
      </c>
      <c r="C94" s="8"/>
      <c r="D94" s="8"/>
      <c r="E94" s="8"/>
      <c r="F94" s="8"/>
      <c r="G94" s="8"/>
      <c r="H94" s="8"/>
      <c r="I94" s="8"/>
      <c r="J94" s="8"/>
      <c r="K94" s="8"/>
      <c r="M94" s="9"/>
      <c r="N94" s="8"/>
      <c r="O94" s="8"/>
      <c r="P94" s="8"/>
      <c r="Q94" s="21"/>
      <c r="R94" s="8"/>
      <c r="S94" s="8"/>
    </row>
    <row r="95" spans="1:29">
      <c r="A95" s="6" t="s">
        <v>139</v>
      </c>
      <c r="B95" s="6" t="s">
        <v>225</v>
      </c>
      <c r="C95" s="6">
        <v>1.75</v>
      </c>
      <c r="D95" s="6">
        <v>1.75</v>
      </c>
      <c r="E95" s="6">
        <v>1.8</v>
      </c>
      <c r="F95" s="6">
        <v>1.8</v>
      </c>
      <c r="G95" s="6">
        <v>1.74</v>
      </c>
      <c r="H95" s="6">
        <v>1.79</v>
      </c>
      <c r="I95" s="6">
        <v>1.8</v>
      </c>
      <c r="J95" s="6">
        <v>466639.3</v>
      </c>
      <c r="K95" s="6">
        <v>8228.5</v>
      </c>
      <c r="M95" s="7">
        <v>2.86E-2</v>
      </c>
      <c r="N95" s="7">
        <v>3.4500000000000003E-2</v>
      </c>
      <c r="O95" s="6"/>
      <c r="P95" s="6"/>
      <c r="Q95" s="20">
        <f>U95*60/72</f>
        <v>2.6416666666666666</v>
      </c>
      <c r="R95" s="7">
        <v>-0.47139999999999999</v>
      </c>
      <c r="S95" s="6">
        <v>10000</v>
      </c>
      <c r="T95" s="16">
        <f>10000*Q95*R95</f>
        <v>-12452.816666666668</v>
      </c>
      <c r="U95" s="14">
        <v>3.17</v>
      </c>
    </row>
    <row r="96" spans="1:29">
      <c r="A96" s="8" t="s">
        <v>127</v>
      </c>
      <c r="B96" s="8" t="s">
        <v>226</v>
      </c>
      <c r="C96" s="8">
        <v>3.61</v>
      </c>
      <c r="D96" s="8">
        <v>3.61</v>
      </c>
      <c r="E96" s="8">
        <v>3.78</v>
      </c>
      <c r="F96" s="8">
        <v>3.78</v>
      </c>
      <c r="G96" s="8">
        <v>3.6</v>
      </c>
      <c r="H96" s="8">
        <v>3.77</v>
      </c>
      <c r="I96" s="8">
        <v>3.78</v>
      </c>
      <c r="J96" s="8">
        <v>188619.1</v>
      </c>
      <c r="K96" s="8">
        <v>6931.4</v>
      </c>
      <c r="M96" s="9">
        <v>4.7100000000000003E-2</v>
      </c>
      <c r="N96" s="9">
        <v>0.05</v>
      </c>
      <c r="O96" s="8"/>
      <c r="P96" s="8"/>
      <c r="Q96" s="21">
        <v>6.2</v>
      </c>
      <c r="R96" s="9">
        <v>-0.64449999999999996</v>
      </c>
      <c r="S96" s="13" t="s">
        <v>137</v>
      </c>
      <c r="T96" s="16">
        <f>5000*Q96*R96</f>
        <v>-19979.5</v>
      </c>
    </row>
  </sheetData>
  <sortState ref="A3:S38">
    <sortCondition ref="P3:P38"/>
  </sortState>
  <phoneticPr fontId="1" type="noConversion"/>
  <conditionalFormatting sqref="C1:C1048576 E1:I1048576">
    <cfRule type="cellIs" dxfId="281" priority="302" operator="lessThan">
      <formula>$D1</formula>
    </cfRule>
    <cfRule type="cellIs" dxfId="280" priority="303" operator="greaterThanOrEqual">
      <formula>$D1</formula>
    </cfRule>
  </conditionalFormatting>
  <conditionalFormatting sqref="M1:M1048576">
    <cfRule type="cellIs" dxfId="279" priority="300" operator="lessThan">
      <formula>0</formula>
    </cfRule>
    <cfRule type="cellIs" dxfId="278" priority="301" operator="greaterThanOrEqual">
      <formula>0</formula>
    </cfRule>
  </conditionalFormatting>
  <conditionalFormatting sqref="N1:N1048576">
    <cfRule type="cellIs" dxfId="277" priority="299" operator="greaterThan">
      <formula>0.1</formula>
    </cfRule>
  </conditionalFormatting>
  <conditionalFormatting sqref="A2:S2 W2 Z2 AC2:XFD2">
    <cfRule type="notContainsBlanks" dxfId="276" priority="298">
      <formula>LEN(TRIM(A2))&gt;0</formula>
    </cfRule>
  </conditionalFormatting>
  <conditionalFormatting sqref="M92:S92 S91:S94 S51:S60 M53:S60 M1:S50 M95:S1048576 M51:R94 A1:K1048576 M62:S62">
    <cfRule type="expression" dxfId="275" priority="310">
      <formula>CELL("row")=ROW()</formula>
    </cfRule>
    <cfRule type="expression" dxfId="274" priority="311">
      <formula>NOT(ISBLANK($A1))</formula>
    </cfRule>
  </conditionalFormatting>
  <conditionalFormatting sqref="A95 A50 A41:A46">
    <cfRule type="expression" dxfId="273" priority="295">
      <formula>CELL("row")=ROW()</formula>
    </cfRule>
    <cfRule type="expression" dxfId="272" priority="296">
      <formula>NOT(ISBLANK($C41))</formula>
    </cfRule>
  </conditionalFormatting>
  <conditionalFormatting sqref="A45:A46">
    <cfRule type="expression" dxfId="271" priority="291">
      <formula>CELL("row")=ROW()</formula>
    </cfRule>
    <cfRule type="expression" dxfId="270" priority="292">
      <formula>NOT(ISBLANK($C45))</formula>
    </cfRule>
  </conditionalFormatting>
  <conditionalFormatting sqref="A47">
    <cfRule type="expression" dxfId="269" priority="289">
      <formula>CELL("row")=ROW()</formula>
    </cfRule>
    <cfRule type="expression" dxfId="268" priority="290">
      <formula>NOT(ISBLANK($C47))</formula>
    </cfRule>
  </conditionalFormatting>
  <conditionalFormatting sqref="A48:A49 A51:A60">
    <cfRule type="expression" dxfId="267" priority="287">
      <formula>CELL("row")=ROW()</formula>
    </cfRule>
    <cfRule type="expression" dxfId="266" priority="288">
      <formula>NOT(ISBLANK($C48))</formula>
    </cfRule>
  </conditionalFormatting>
  <conditionalFormatting sqref="A61:A62">
    <cfRule type="expression" dxfId="265" priority="285">
      <formula>CELL("row")=ROW()</formula>
    </cfRule>
    <cfRule type="expression" dxfId="264" priority="286">
      <formula>NOT(ISBLANK($C61))</formula>
    </cfRule>
  </conditionalFormatting>
  <conditionalFormatting sqref="A63:A68">
    <cfRule type="expression" dxfId="263" priority="283">
      <formula>CELL("row")=ROW()</formula>
    </cfRule>
    <cfRule type="expression" dxfId="262" priority="284">
      <formula>NOT(ISBLANK($C63))</formula>
    </cfRule>
  </conditionalFormatting>
  <conditionalFormatting sqref="A69:A72">
    <cfRule type="expression" dxfId="261" priority="281">
      <formula>CELL("row")=ROW()</formula>
    </cfRule>
    <cfRule type="expression" dxfId="260" priority="282">
      <formula>NOT(ISBLANK($C69))</formula>
    </cfRule>
  </conditionalFormatting>
  <conditionalFormatting sqref="A73:A79">
    <cfRule type="expression" dxfId="259" priority="279">
      <formula>CELL("row")=ROW()</formula>
    </cfRule>
    <cfRule type="expression" dxfId="258" priority="280">
      <formula>NOT(ISBLANK($C73))</formula>
    </cfRule>
  </conditionalFormatting>
  <conditionalFormatting sqref="A80:A84">
    <cfRule type="expression" dxfId="257" priority="277">
      <formula>CELL("row")=ROW()</formula>
    </cfRule>
    <cfRule type="expression" dxfId="256" priority="278">
      <formula>NOT(ISBLANK($C80))</formula>
    </cfRule>
  </conditionalFormatting>
  <conditionalFormatting sqref="A85:A90">
    <cfRule type="expression" dxfId="255" priority="275">
      <formula>CELL("row")=ROW()</formula>
    </cfRule>
    <cfRule type="expression" dxfId="254" priority="276">
      <formula>NOT(ISBLANK($C85))</formula>
    </cfRule>
  </conditionalFormatting>
  <conditionalFormatting sqref="A44">
    <cfRule type="expression" dxfId="253" priority="273">
      <formula>CELL("row")=ROW()</formula>
    </cfRule>
    <cfRule type="expression" dxfId="252" priority="274">
      <formula>NOT(ISBLANK($C44))</formula>
    </cfRule>
  </conditionalFormatting>
  <conditionalFormatting sqref="A44">
    <cfRule type="expression" dxfId="251" priority="271">
      <formula>CELL("row")=ROW()</formula>
    </cfRule>
    <cfRule type="expression" dxfId="250" priority="272">
      <formula>NOT(ISBLANK($C44))</formula>
    </cfRule>
  </conditionalFormatting>
  <conditionalFormatting sqref="Q44">
    <cfRule type="expression" dxfId="249" priority="269">
      <formula>CELL("row")=ROW()</formula>
    </cfRule>
    <cfRule type="expression" dxfId="248" priority="270">
      <formula>NOT(ISBLANK($C44))</formula>
    </cfRule>
  </conditionalFormatting>
  <conditionalFormatting sqref="Q45:Q46">
    <cfRule type="expression" dxfId="247" priority="267">
      <formula>CELL("row")=ROW()</formula>
    </cfRule>
    <cfRule type="expression" dxfId="246" priority="268">
      <formula>NOT(ISBLANK($C47))</formula>
    </cfRule>
  </conditionalFormatting>
  <conditionalFormatting sqref="Q61:Q90">
    <cfRule type="expression" dxfId="245" priority="265">
      <formula>CELL("row")=ROW()</formula>
    </cfRule>
    <cfRule type="expression" dxfId="244" priority="266">
      <formula>NOT(ISBLANK($C61))</formula>
    </cfRule>
  </conditionalFormatting>
  <conditionalFormatting sqref="A93">
    <cfRule type="expression" dxfId="243" priority="263">
      <formula>CELL("row")=ROW()</formula>
    </cfRule>
    <cfRule type="expression" dxfId="242" priority="264">
      <formula>NOT(ISBLANK($C93))</formula>
    </cfRule>
  </conditionalFormatting>
  <conditionalFormatting sqref="Q93">
    <cfRule type="expression" dxfId="241" priority="261">
      <formula>CELL("row")=ROW()</formula>
    </cfRule>
    <cfRule type="expression" dxfId="240" priority="262">
      <formula>NOT(ISBLANK($C93))</formula>
    </cfRule>
  </conditionalFormatting>
  <conditionalFormatting sqref="A96">
    <cfRule type="expression" dxfId="239" priority="259">
      <formula>CELL("row")=ROW()</formula>
    </cfRule>
    <cfRule type="expression" dxfId="238" priority="260">
      <formula>NOT(ISBLANK($C96))</formula>
    </cfRule>
  </conditionalFormatting>
  <conditionalFormatting sqref="Q96">
    <cfRule type="expression" dxfId="237" priority="257">
      <formula>CELL("row")=ROW()</formula>
    </cfRule>
    <cfRule type="expression" dxfId="236" priority="258">
      <formula>NOT(ISBLANK($C96))</formula>
    </cfRule>
  </conditionalFormatting>
  <conditionalFormatting sqref="A92">
    <cfRule type="expression" dxfId="235" priority="255">
      <formula>CELL("row")=ROW()</formula>
    </cfRule>
    <cfRule type="expression" dxfId="234" priority="256">
      <formula>NOT(ISBLANK($C92))</formula>
    </cfRule>
  </conditionalFormatting>
  <conditionalFormatting sqref="A56:A60">
    <cfRule type="expression" dxfId="233" priority="251">
      <formula>CELL("row")=ROW()</formula>
    </cfRule>
    <cfRule type="expression" dxfId="232" priority="252">
      <formula>NOT(ISBLANK($C56))</formula>
    </cfRule>
  </conditionalFormatting>
  <conditionalFormatting sqref="A51:A55">
    <cfRule type="expression" dxfId="231" priority="249">
      <formula>CELL("row")=ROW()</formula>
    </cfRule>
    <cfRule type="expression" dxfId="230" priority="250">
      <formula>NOT(ISBLANK($C51))</formula>
    </cfRule>
  </conditionalFormatting>
  <conditionalFormatting sqref="Q51:Q55">
    <cfRule type="expression" dxfId="229" priority="247">
      <formula>CELL("row")=ROW()</formula>
    </cfRule>
    <cfRule type="expression" dxfId="228" priority="248">
      <formula>NOT(ISBLANK($C51))</formula>
    </cfRule>
  </conditionalFormatting>
  <conditionalFormatting sqref="A65:A68">
    <cfRule type="expression" dxfId="227" priority="243">
      <formula>CELL("row")=ROW()</formula>
    </cfRule>
    <cfRule type="expression" dxfId="226" priority="244">
      <formula>NOT(ISBLANK($C65))</formula>
    </cfRule>
  </conditionalFormatting>
  <conditionalFormatting sqref="A40">
    <cfRule type="expression" dxfId="225" priority="241">
      <formula>CELL("row")=ROW()</formula>
    </cfRule>
    <cfRule type="expression" dxfId="224" priority="242">
      <formula>NOT(ISBLANK($C40))</formula>
    </cfRule>
  </conditionalFormatting>
  <conditionalFormatting sqref="A53:A55">
    <cfRule type="expression" dxfId="223" priority="239">
      <formula>CELL("row")=ROW()</formula>
    </cfRule>
    <cfRule type="expression" dxfId="222" priority="240">
      <formula>NOT(ISBLANK($C53))</formula>
    </cfRule>
  </conditionalFormatting>
  <conditionalFormatting sqref="A64">
    <cfRule type="expression" dxfId="221" priority="237">
      <formula>CELL("row")=ROW()</formula>
    </cfRule>
    <cfRule type="expression" dxfId="220" priority="238">
      <formula>NOT(ISBLANK($C64))</formula>
    </cfRule>
  </conditionalFormatting>
  <conditionalFormatting sqref="A75:A79">
    <cfRule type="expression" dxfId="219" priority="235">
      <formula>CELL("row")=ROW()</formula>
    </cfRule>
    <cfRule type="expression" dxfId="218" priority="236">
      <formula>NOT(ISBLANK($C75))</formula>
    </cfRule>
  </conditionalFormatting>
  <conditionalFormatting sqref="A66:A68">
    <cfRule type="expression" dxfId="217" priority="233">
      <formula>CELL("row")=ROW()</formula>
    </cfRule>
    <cfRule type="expression" dxfId="216" priority="234">
      <formula>NOT(ISBLANK($C66))</formula>
    </cfRule>
  </conditionalFormatting>
  <conditionalFormatting sqref="A71:A72">
    <cfRule type="expression" dxfId="215" priority="231">
      <formula>CELL("row")=ROW()</formula>
    </cfRule>
    <cfRule type="expression" dxfId="214" priority="232">
      <formula>NOT(ISBLANK($C71))</formula>
    </cfRule>
  </conditionalFormatting>
  <conditionalFormatting sqref="A58:A60">
    <cfRule type="expression" dxfId="213" priority="229">
      <formula>CELL("row")=ROW()</formula>
    </cfRule>
    <cfRule type="expression" dxfId="212" priority="230">
      <formula>NOT(ISBLANK($C58))</formula>
    </cfRule>
  </conditionalFormatting>
  <conditionalFormatting sqref="Q58:Q60">
    <cfRule type="expression" dxfId="211" priority="227">
      <formula>CELL("row")=ROW()</formula>
    </cfRule>
    <cfRule type="expression" dxfId="210" priority="228">
      <formula>NOT(ISBLANK($C58))</formula>
    </cfRule>
  </conditionalFormatting>
  <conditionalFormatting sqref="A82:A84">
    <cfRule type="expression" dxfId="209" priority="225">
      <formula>CELL("row")=ROW()</formula>
    </cfRule>
    <cfRule type="expression" dxfId="208" priority="226">
      <formula>NOT(ISBLANK($C82))</formula>
    </cfRule>
  </conditionalFormatting>
  <conditionalFormatting sqref="A62">
    <cfRule type="expression" dxfId="207" priority="223">
      <formula>CELL("row")=ROW()</formula>
    </cfRule>
    <cfRule type="expression" dxfId="206" priority="224">
      <formula>NOT(ISBLANK($C62))</formula>
    </cfRule>
  </conditionalFormatting>
  <conditionalFormatting sqref="A62">
    <cfRule type="expression" dxfId="205" priority="221">
      <formula>CELL("row")=ROW()</formula>
    </cfRule>
    <cfRule type="expression" dxfId="204" priority="222">
      <formula>NOT(ISBLANK($C62))</formula>
    </cfRule>
  </conditionalFormatting>
  <conditionalFormatting sqref="A83:A84">
    <cfRule type="expression" dxfId="203" priority="219">
      <formula>CELL("row")=ROW()</formula>
    </cfRule>
    <cfRule type="expression" dxfId="202" priority="220">
      <formula>NOT(ISBLANK($C83))</formula>
    </cfRule>
  </conditionalFormatting>
  <conditionalFormatting sqref="A89:A90">
    <cfRule type="expression" dxfId="201" priority="217">
      <formula>CELL("row")=ROW()</formula>
    </cfRule>
    <cfRule type="expression" dxfId="200" priority="218">
      <formula>NOT(ISBLANK($C89))</formula>
    </cfRule>
  </conditionalFormatting>
  <conditionalFormatting sqref="A90">
    <cfRule type="expression" dxfId="199" priority="215">
      <formula>CELL("row")=ROW()</formula>
    </cfRule>
    <cfRule type="expression" dxfId="198" priority="216">
      <formula>NOT(ISBLANK($C90))</formula>
    </cfRule>
  </conditionalFormatting>
  <conditionalFormatting sqref="A54:A55">
    <cfRule type="expression" dxfId="197" priority="213">
      <formula>CELL("row")=ROW()</formula>
    </cfRule>
    <cfRule type="expression" dxfId="196" priority="214">
      <formula>NOT(ISBLANK($C54))</formula>
    </cfRule>
  </conditionalFormatting>
  <conditionalFormatting sqref="A76:A79">
    <cfRule type="expression" dxfId="195" priority="211">
      <formula>CELL("row")=ROW()</formula>
    </cfRule>
    <cfRule type="expression" dxfId="194" priority="212">
      <formula>NOT(ISBLANK($C76))</formula>
    </cfRule>
  </conditionalFormatting>
  <conditionalFormatting sqref="A55">
    <cfRule type="expression" dxfId="193" priority="209">
      <formula>CELL("row")=ROW()</formula>
    </cfRule>
    <cfRule type="expression" dxfId="192" priority="210">
      <formula>NOT(ISBLANK($C55))</formula>
    </cfRule>
  </conditionalFormatting>
  <conditionalFormatting sqref="A77:A79">
    <cfRule type="expression" dxfId="191" priority="207">
      <formula>CELL("row")=ROW()</formula>
    </cfRule>
    <cfRule type="expression" dxfId="190" priority="208">
      <formula>NOT(ISBLANK($C77))</formula>
    </cfRule>
  </conditionalFormatting>
  <conditionalFormatting sqref="A59:A60">
    <cfRule type="expression" dxfId="189" priority="205">
      <formula>CELL("row")=ROW()</formula>
    </cfRule>
    <cfRule type="expression" dxfId="188" priority="206">
      <formula>NOT(ISBLANK($C59))</formula>
    </cfRule>
  </conditionalFormatting>
  <conditionalFormatting sqref="Q59:Q60">
    <cfRule type="expression" dxfId="187" priority="203">
      <formula>CELL("row")=ROW()</formula>
    </cfRule>
    <cfRule type="expression" dxfId="186" priority="204">
      <formula>NOT(ISBLANK($C59))</formula>
    </cfRule>
  </conditionalFormatting>
  <conditionalFormatting sqref="A67:A68">
    <cfRule type="expression" dxfId="185" priority="201">
      <formula>CELL("row")=ROW()</formula>
    </cfRule>
    <cfRule type="expression" dxfId="184" priority="202">
      <formula>NOT(ISBLANK($C67))</formula>
    </cfRule>
  </conditionalFormatting>
  <conditionalFormatting sqref="A72">
    <cfRule type="expression" dxfId="183" priority="199">
      <formula>CELL("row")=ROW()</formula>
    </cfRule>
    <cfRule type="expression" dxfId="182" priority="200">
      <formula>NOT(ISBLANK($C72))</formula>
    </cfRule>
  </conditionalFormatting>
  <conditionalFormatting sqref="A78:A79">
    <cfRule type="expression" dxfId="181" priority="197">
      <formula>CELL("row")=ROW()</formula>
    </cfRule>
    <cfRule type="expression" dxfId="180" priority="198">
      <formula>NOT(ISBLANK($C78))</formula>
    </cfRule>
  </conditionalFormatting>
  <conditionalFormatting sqref="A84">
    <cfRule type="expression" dxfId="179" priority="195">
      <formula>CELL("row")=ROW()</formula>
    </cfRule>
    <cfRule type="expression" dxfId="178" priority="196">
      <formula>NOT(ISBLANK($C84))</formula>
    </cfRule>
  </conditionalFormatting>
  <conditionalFormatting sqref="A68">
    <cfRule type="expression" dxfId="177" priority="193">
      <formula>CELL("row")=ROW()</formula>
    </cfRule>
    <cfRule type="expression" dxfId="176" priority="194">
      <formula>NOT(ISBLANK($C68))</formula>
    </cfRule>
  </conditionalFormatting>
  <conditionalFormatting sqref="A42">
    <cfRule type="expression" dxfId="175" priority="191">
      <formula>CELL("row")=ROW()</formula>
    </cfRule>
    <cfRule type="expression" dxfId="174" priority="192">
      <formula>NOT(ISBLANK($C42))</formula>
    </cfRule>
  </conditionalFormatting>
  <conditionalFormatting sqref="A42">
    <cfRule type="expression" dxfId="173" priority="189">
      <formula>CELL("row")=ROW()</formula>
    </cfRule>
    <cfRule type="expression" dxfId="172" priority="190">
      <formula>NOT(ISBLANK($C42))</formula>
    </cfRule>
  </conditionalFormatting>
  <conditionalFormatting sqref="Q42">
    <cfRule type="expression" dxfId="171" priority="187">
      <formula>CELL("row")=ROW()</formula>
    </cfRule>
    <cfRule type="expression" dxfId="170" priority="188">
      <formula>NOT(ISBLANK($C42))</formula>
    </cfRule>
  </conditionalFormatting>
  <conditionalFormatting sqref="A60">
    <cfRule type="expression" dxfId="169" priority="185">
      <formula>CELL("row")=ROW()</formula>
    </cfRule>
    <cfRule type="expression" dxfId="168" priority="186">
      <formula>NOT(ISBLANK($C60))</formula>
    </cfRule>
  </conditionalFormatting>
  <conditionalFormatting sqref="Q60">
    <cfRule type="expression" dxfId="167" priority="183">
      <formula>CELL("row")=ROW()</formula>
    </cfRule>
    <cfRule type="expression" dxfId="166" priority="184">
      <formula>NOT(ISBLANK($C60))</formula>
    </cfRule>
  </conditionalFormatting>
  <conditionalFormatting sqref="A79">
    <cfRule type="expression" dxfId="165" priority="181">
      <formula>CELL("row")=ROW()</formula>
    </cfRule>
    <cfRule type="expression" dxfId="164" priority="182">
      <formula>NOT(ISBLANK($C79))</formula>
    </cfRule>
  </conditionalFormatting>
  <conditionalFormatting sqref="S61">
    <cfRule type="expression" dxfId="163" priority="179">
      <formula>CELL("row")=ROW()</formula>
    </cfRule>
    <cfRule type="expression" dxfId="162" priority="180">
      <formula>NOT(ISBLANK($A61))</formula>
    </cfRule>
  </conditionalFormatting>
  <conditionalFormatting sqref="S63">
    <cfRule type="expression" dxfId="161" priority="177">
      <formula>CELL("row")=ROW()</formula>
    </cfRule>
    <cfRule type="expression" dxfId="160" priority="178">
      <formula>NOT(ISBLANK($A63))</formula>
    </cfRule>
  </conditionalFormatting>
  <conditionalFormatting sqref="S64">
    <cfRule type="expression" dxfId="159" priority="175">
      <formula>CELL("row")=ROW()</formula>
    </cfRule>
    <cfRule type="expression" dxfId="158" priority="176">
      <formula>NOT(ISBLANK($A64))</formula>
    </cfRule>
  </conditionalFormatting>
  <conditionalFormatting sqref="S65">
    <cfRule type="expression" dxfId="157" priority="173">
      <formula>CELL("row")=ROW()</formula>
    </cfRule>
    <cfRule type="expression" dxfId="156" priority="174">
      <formula>NOT(ISBLANK($A65))</formula>
    </cfRule>
  </conditionalFormatting>
  <conditionalFormatting sqref="S66">
    <cfRule type="expression" dxfId="155" priority="171">
      <formula>CELL("row")=ROW()</formula>
    </cfRule>
    <cfRule type="expression" dxfId="154" priority="172">
      <formula>NOT(ISBLANK($A66))</formula>
    </cfRule>
  </conditionalFormatting>
  <conditionalFormatting sqref="S67">
    <cfRule type="expression" dxfId="153" priority="169">
      <formula>CELL("row")=ROW()</formula>
    </cfRule>
    <cfRule type="expression" dxfId="152" priority="170">
      <formula>NOT(ISBLANK($A67))</formula>
    </cfRule>
  </conditionalFormatting>
  <conditionalFormatting sqref="S68">
    <cfRule type="expression" dxfId="151" priority="167">
      <formula>CELL("row")=ROW()</formula>
    </cfRule>
    <cfRule type="expression" dxfId="150" priority="168">
      <formula>NOT(ISBLANK($A68))</formula>
    </cfRule>
  </conditionalFormatting>
  <conditionalFormatting sqref="S69">
    <cfRule type="expression" dxfId="149" priority="165">
      <formula>CELL("row")=ROW()</formula>
    </cfRule>
    <cfRule type="expression" dxfId="148" priority="166">
      <formula>NOT(ISBLANK($A69))</formula>
    </cfRule>
  </conditionalFormatting>
  <conditionalFormatting sqref="S70">
    <cfRule type="expression" dxfId="147" priority="163">
      <formula>CELL("row")=ROW()</formula>
    </cfRule>
    <cfRule type="expression" dxfId="146" priority="164">
      <formula>NOT(ISBLANK($A70))</formula>
    </cfRule>
  </conditionalFormatting>
  <conditionalFormatting sqref="S71">
    <cfRule type="expression" dxfId="145" priority="161">
      <formula>CELL("row")=ROW()</formula>
    </cfRule>
    <cfRule type="expression" dxfId="144" priority="162">
      <formula>NOT(ISBLANK($A71))</formula>
    </cfRule>
  </conditionalFormatting>
  <conditionalFormatting sqref="S72">
    <cfRule type="expression" dxfId="143" priority="159">
      <formula>CELL("row")=ROW()</formula>
    </cfRule>
    <cfRule type="expression" dxfId="142" priority="160">
      <formula>NOT(ISBLANK($A72))</formula>
    </cfRule>
  </conditionalFormatting>
  <conditionalFormatting sqref="S73">
    <cfRule type="expression" dxfId="141" priority="157">
      <formula>CELL("row")=ROW()</formula>
    </cfRule>
    <cfRule type="expression" dxfId="140" priority="158">
      <formula>NOT(ISBLANK($A73))</formula>
    </cfRule>
  </conditionalFormatting>
  <conditionalFormatting sqref="S72">
    <cfRule type="expression" dxfId="139" priority="155">
      <formula>CELL("row")=ROW()</formula>
    </cfRule>
    <cfRule type="expression" dxfId="138" priority="156">
      <formula>NOT(ISBLANK($A72))</formula>
    </cfRule>
  </conditionalFormatting>
  <conditionalFormatting sqref="S71">
    <cfRule type="expression" dxfId="137" priority="153">
      <formula>CELL("row")=ROW()</formula>
    </cfRule>
    <cfRule type="expression" dxfId="136" priority="154">
      <formula>NOT(ISBLANK($A71))</formula>
    </cfRule>
  </conditionalFormatting>
  <conditionalFormatting sqref="S70">
    <cfRule type="expression" dxfId="135" priority="151">
      <formula>CELL("row")=ROW()</formula>
    </cfRule>
    <cfRule type="expression" dxfId="134" priority="152">
      <formula>NOT(ISBLANK($A70))</formula>
    </cfRule>
  </conditionalFormatting>
  <conditionalFormatting sqref="S69">
    <cfRule type="expression" dxfId="133" priority="149">
      <formula>CELL("row")=ROW()</formula>
    </cfRule>
    <cfRule type="expression" dxfId="132" priority="150">
      <formula>NOT(ISBLANK($A69))</formula>
    </cfRule>
  </conditionalFormatting>
  <conditionalFormatting sqref="S68">
    <cfRule type="expression" dxfId="131" priority="147">
      <formula>CELL("row")=ROW()</formula>
    </cfRule>
    <cfRule type="expression" dxfId="130" priority="148">
      <formula>NOT(ISBLANK($A68))</formula>
    </cfRule>
  </conditionalFormatting>
  <conditionalFormatting sqref="S68">
    <cfRule type="expression" dxfId="129" priority="145">
      <formula>CELL("row")=ROW()</formula>
    </cfRule>
    <cfRule type="expression" dxfId="128" priority="146">
      <formula>NOT(ISBLANK($A68))</formula>
    </cfRule>
  </conditionalFormatting>
  <conditionalFormatting sqref="S67">
    <cfRule type="expression" dxfId="127" priority="143">
      <formula>CELL("row")=ROW()</formula>
    </cfRule>
    <cfRule type="expression" dxfId="126" priority="144">
      <formula>NOT(ISBLANK($A67))</formula>
    </cfRule>
  </conditionalFormatting>
  <conditionalFormatting sqref="S67">
    <cfRule type="expression" dxfId="125" priority="141">
      <formula>CELL("row")=ROW()</formula>
    </cfRule>
    <cfRule type="expression" dxfId="124" priority="142">
      <formula>NOT(ISBLANK($A67))</formula>
    </cfRule>
  </conditionalFormatting>
  <conditionalFormatting sqref="S67">
    <cfRule type="expression" dxfId="123" priority="139">
      <formula>CELL("row")=ROW()</formula>
    </cfRule>
    <cfRule type="expression" dxfId="122" priority="140">
      <formula>NOT(ISBLANK($A67))</formula>
    </cfRule>
  </conditionalFormatting>
  <conditionalFormatting sqref="S69">
    <cfRule type="expression" dxfId="121" priority="137">
      <formula>CELL("row")=ROW()</formula>
    </cfRule>
    <cfRule type="expression" dxfId="120" priority="138">
      <formula>NOT(ISBLANK($A69))</formula>
    </cfRule>
  </conditionalFormatting>
  <conditionalFormatting sqref="S69">
    <cfRule type="expression" dxfId="119" priority="135">
      <formula>CELL("row")=ROW()</formula>
    </cfRule>
    <cfRule type="expression" dxfId="118" priority="136">
      <formula>NOT(ISBLANK($A69))</formula>
    </cfRule>
  </conditionalFormatting>
  <conditionalFormatting sqref="S69">
    <cfRule type="expression" dxfId="117" priority="133">
      <formula>CELL("row")=ROW()</formula>
    </cfRule>
    <cfRule type="expression" dxfId="116" priority="134">
      <formula>NOT(ISBLANK($A69))</formula>
    </cfRule>
  </conditionalFormatting>
  <conditionalFormatting sqref="S70">
    <cfRule type="expression" dxfId="115" priority="131">
      <formula>CELL("row")=ROW()</formula>
    </cfRule>
    <cfRule type="expression" dxfId="114" priority="132">
      <formula>NOT(ISBLANK($A70))</formula>
    </cfRule>
  </conditionalFormatting>
  <conditionalFormatting sqref="S70">
    <cfRule type="expression" dxfId="113" priority="129">
      <formula>CELL("row")=ROW()</formula>
    </cfRule>
    <cfRule type="expression" dxfId="112" priority="130">
      <formula>NOT(ISBLANK($A70))</formula>
    </cfRule>
  </conditionalFormatting>
  <conditionalFormatting sqref="S70">
    <cfRule type="expression" dxfId="111" priority="127">
      <formula>CELL("row")=ROW()</formula>
    </cfRule>
    <cfRule type="expression" dxfId="110" priority="128">
      <formula>NOT(ISBLANK($A70))</formula>
    </cfRule>
  </conditionalFormatting>
  <conditionalFormatting sqref="S71">
    <cfRule type="expression" dxfId="109" priority="125">
      <formula>CELL("row")=ROW()</formula>
    </cfRule>
    <cfRule type="expression" dxfId="108" priority="126">
      <formula>NOT(ISBLANK($A71))</formula>
    </cfRule>
  </conditionalFormatting>
  <conditionalFormatting sqref="S71">
    <cfRule type="expression" dxfId="107" priority="123">
      <formula>CELL("row")=ROW()</formula>
    </cfRule>
    <cfRule type="expression" dxfId="106" priority="124">
      <formula>NOT(ISBLANK($A71))</formula>
    </cfRule>
  </conditionalFormatting>
  <conditionalFormatting sqref="S71">
    <cfRule type="expression" dxfId="105" priority="121">
      <formula>CELL("row")=ROW()</formula>
    </cfRule>
    <cfRule type="expression" dxfId="104" priority="122">
      <formula>NOT(ISBLANK($A71))</formula>
    </cfRule>
  </conditionalFormatting>
  <conditionalFormatting sqref="S72">
    <cfRule type="expression" dxfId="103" priority="119">
      <formula>CELL("row")=ROW()</formula>
    </cfRule>
    <cfRule type="expression" dxfId="102" priority="120">
      <formula>NOT(ISBLANK($A72))</formula>
    </cfRule>
  </conditionalFormatting>
  <conditionalFormatting sqref="S72">
    <cfRule type="expression" dxfId="101" priority="117">
      <formula>CELL("row")=ROW()</formula>
    </cfRule>
    <cfRule type="expression" dxfId="100" priority="118">
      <formula>NOT(ISBLANK($A72))</formula>
    </cfRule>
  </conditionalFormatting>
  <conditionalFormatting sqref="S72">
    <cfRule type="expression" dxfId="99" priority="115">
      <formula>CELL("row")=ROW()</formula>
    </cfRule>
    <cfRule type="expression" dxfId="98" priority="116">
      <formula>NOT(ISBLANK($A72))</formula>
    </cfRule>
  </conditionalFormatting>
  <conditionalFormatting sqref="S73">
    <cfRule type="expression" dxfId="97" priority="113">
      <formula>CELL("row")=ROW()</formula>
    </cfRule>
    <cfRule type="expression" dxfId="96" priority="114">
      <formula>NOT(ISBLANK($A73))</formula>
    </cfRule>
  </conditionalFormatting>
  <conditionalFormatting sqref="S73">
    <cfRule type="expression" dxfId="95" priority="111">
      <formula>CELL("row")=ROW()</formula>
    </cfRule>
    <cfRule type="expression" dxfId="94" priority="112">
      <formula>NOT(ISBLANK($A73))</formula>
    </cfRule>
  </conditionalFormatting>
  <conditionalFormatting sqref="S73">
    <cfRule type="expression" dxfId="93" priority="109">
      <formula>CELL("row")=ROW()</formula>
    </cfRule>
    <cfRule type="expression" dxfId="92" priority="110">
      <formula>NOT(ISBLANK($A73))</formula>
    </cfRule>
  </conditionalFormatting>
  <conditionalFormatting sqref="S74">
    <cfRule type="expression" dxfId="91" priority="107">
      <formula>CELL("row")=ROW()</formula>
    </cfRule>
    <cfRule type="expression" dxfId="90" priority="108">
      <formula>NOT(ISBLANK($A74))</formula>
    </cfRule>
  </conditionalFormatting>
  <conditionalFormatting sqref="S74">
    <cfRule type="expression" dxfId="89" priority="105">
      <formula>CELL("row")=ROW()</formula>
    </cfRule>
    <cfRule type="expression" dxfId="88" priority="106">
      <formula>NOT(ISBLANK($A74))</formula>
    </cfRule>
  </conditionalFormatting>
  <conditionalFormatting sqref="S74">
    <cfRule type="expression" dxfId="87" priority="103">
      <formula>CELL("row")=ROW()</formula>
    </cfRule>
    <cfRule type="expression" dxfId="86" priority="104">
      <formula>NOT(ISBLANK($A74))</formula>
    </cfRule>
  </conditionalFormatting>
  <conditionalFormatting sqref="S74">
    <cfRule type="expression" dxfId="85" priority="95">
      <formula>CELL("row")=ROW()</formula>
    </cfRule>
    <cfRule type="expression" dxfId="84" priority="96">
      <formula>NOT(ISBLANK($A74))</formula>
    </cfRule>
  </conditionalFormatting>
  <conditionalFormatting sqref="S74">
    <cfRule type="expression" dxfId="83" priority="93">
      <formula>CELL("row")=ROW()</formula>
    </cfRule>
    <cfRule type="expression" dxfId="82" priority="94">
      <formula>NOT(ISBLANK($A74))</formula>
    </cfRule>
  </conditionalFormatting>
  <conditionalFormatting sqref="S74">
    <cfRule type="expression" dxfId="81" priority="91">
      <formula>CELL("row")=ROW()</formula>
    </cfRule>
    <cfRule type="expression" dxfId="80" priority="92">
      <formula>NOT(ISBLANK($A74))</formula>
    </cfRule>
  </conditionalFormatting>
  <conditionalFormatting sqref="S73">
    <cfRule type="expression" dxfId="79" priority="89">
      <formula>CELL("row")=ROW()</formula>
    </cfRule>
    <cfRule type="expression" dxfId="78" priority="90">
      <formula>NOT(ISBLANK($A73))</formula>
    </cfRule>
  </conditionalFormatting>
  <conditionalFormatting sqref="S73">
    <cfRule type="expression" dxfId="77" priority="87">
      <formula>CELL("row")=ROW()</formula>
    </cfRule>
    <cfRule type="expression" dxfId="76" priority="88">
      <formula>NOT(ISBLANK($A73))</formula>
    </cfRule>
  </conditionalFormatting>
  <conditionalFormatting sqref="S73">
    <cfRule type="expression" dxfId="75" priority="85">
      <formula>CELL("row")=ROW()</formula>
    </cfRule>
    <cfRule type="expression" dxfId="74" priority="86">
      <formula>NOT(ISBLANK($A73))</formula>
    </cfRule>
  </conditionalFormatting>
  <conditionalFormatting sqref="S72">
    <cfRule type="expression" dxfId="73" priority="83">
      <formula>CELL("row")=ROW()</formula>
    </cfRule>
    <cfRule type="expression" dxfId="72" priority="84">
      <formula>NOT(ISBLANK($A72))</formula>
    </cfRule>
  </conditionalFormatting>
  <conditionalFormatting sqref="S72">
    <cfRule type="expression" dxfId="71" priority="81">
      <formula>CELL("row")=ROW()</formula>
    </cfRule>
    <cfRule type="expression" dxfId="70" priority="82">
      <formula>NOT(ISBLANK($A72))</formula>
    </cfRule>
  </conditionalFormatting>
  <conditionalFormatting sqref="S72">
    <cfRule type="expression" dxfId="69" priority="79">
      <formula>CELL("row")=ROW()</formula>
    </cfRule>
    <cfRule type="expression" dxfId="68" priority="80">
      <formula>NOT(ISBLANK($A72))</formula>
    </cfRule>
  </conditionalFormatting>
  <conditionalFormatting sqref="S71">
    <cfRule type="expression" dxfId="67" priority="77">
      <formula>CELL("row")=ROW()</formula>
    </cfRule>
    <cfRule type="expression" dxfId="66" priority="78">
      <formula>NOT(ISBLANK($A71))</formula>
    </cfRule>
  </conditionalFormatting>
  <conditionalFormatting sqref="S71">
    <cfRule type="expression" dxfId="65" priority="75">
      <formula>CELL("row")=ROW()</formula>
    </cfRule>
    <cfRule type="expression" dxfId="64" priority="76">
      <formula>NOT(ISBLANK($A71))</formula>
    </cfRule>
  </conditionalFormatting>
  <conditionalFormatting sqref="S71">
    <cfRule type="expression" dxfId="63" priority="73">
      <formula>CELL("row")=ROW()</formula>
    </cfRule>
    <cfRule type="expression" dxfId="62" priority="74">
      <formula>NOT(ISBLANK($A71))</formula>
    </cfRule>
  </conditionalFormatting>
  <conditionalFormatting sqref="S70">
    <cfRule type="expression" dxfId="61" priority="71">
      <formula>CELL("row")=ROW()</formula>
    </cfRule>
    <cfRule type="expression" dxfId="60" priority="72">
      <formula>NOT(ISBLANK($A70))</formula>
    </cfRule>
  </conditionalFormatting>
  <conditionalFormatting sqref="S70">
    <cfRule type="expression" dxfId="59" priority="69">
      <formula>CELL("row")=ROW()</formula>
    </cfRule>
    <cfRule type="expression" dxfId="58" priority="70">
      <formula>NOT(ISBLANK($A70))</formula>
    </cfRule>
  </conditionalFormatting>
  <conditionalFormatting sqref="S70">
    <cfRule type="expression" dxfId="57" priority="67">
      <formula>CELL("row")=ROW()</formula>
    </cfRule>
    <cfRule type="expression" dxfId="56" priority="68">
      <formula>NOT(ISBLANK($A70))</formula>
    </cfRule>
  </conditionalFormatting>
  <conditionalFormatting sqref="S71">
    <cfRule type="expression" dxfId="55" priority="65">
      <formula>CELL("row")=ROW()</formula>
    </cfRule>
    <cfRule type="expression" dxfId="54" priority="66">
      <formula>NOT(ISBLANK($A71))</formula>
    </cfRule>
  </conditionalFormatting>
  <conditionalFormatting sqref="S71">
    <cfRule type="expression" dxfId="53" priority="63">
      <formula>CELL("row")=ROW()</formula>
    </cfRule>
    <cfRule type="expression" dxfId="52" priority="64">
      <formula>NOT(ISBLANK($A71))</formula>
    </cfRule>
  </conditionalFormatting>
  <conditionalFormatting sqref="S71">
    <cfRule type="expression" dxfId="51" priority="61">
      <formula>CELL("row")=ROW()</formula>
    </cfRule>
    <cfRule type="expression" dxfId="50" priority="62">
      <formula>NOT(ISBLANK($A71))</formula>
    </cfRule>
  </conditionalFormatting>
  <conditionalFormatting sqref="S72">
    <cfRule type="expression" dxfId="49" priority="59">
      <formula>CELL("row")=ROW()</formula>
    </cfRule>
    <cfRule type="expression" dxfId="48" priority="60">
      <formula>NOT(ISBLANK($A72))</formula>
    </cfRule>
  </conditionalFormatting>
  <conditionalFormatting sqref="S72">
    <cfRule type="expression" dxfId="47" priority="57">
      <formula>CELL("row")=ROW()</formula>
    </cfRule>
    <cfRule type="expression" dxfId="46" priority="58">
      <formula>NOT(ISBLANK($A72))</formula>
    </cfRule>
  </conditionalFormatting>
  <conditionalFormatting sqref="S72">
    <cfRule type="expression" dxfId="45" priority="55">
      <formula>CELL("row")=ROW()</formula>
    </cfRule>
    <cfRule type="expression" dxfId="44" priority="56">
      <formula>NOT(ISBLANK($A72))</formula>
    </cfRule>
  </conditionalFormatting>
  <conditionalFormatting sqref="S73">
    <cfRule type="expression" dxfId="43" priority="53">
      <formula>CELL("row")=ROW()</formula>
    </cfRule>
    <cfRule type="expression" dxfId="42" priority="54">
      <formula>NOT(ISBLANK($A73))</formula>
    </cfRule>
  </conditionalFormatting>
  <conditionalFormatting sqref="S73">
    <cfRule type="expression" dxfId="41" priority="51">
      <formula>CELL("row")=ROW()</formula>
    </cfRule>
    <cfRule type="expression" dxfId="40" priority="52">
      <formula>NOT(ISBLANK($A73))</formula>
    </cfRule>
  </conditionalFormatting>
  <conditionalFormatting sqref="S73">
    <cfRule type="expression" dxfId="39" priority="49">
      <formula>CELL("row")=ROW()</formula>
    </cfRule>
    <cfRule type="expression" dxfId="38" priority="50">
      <formula>NOT(ISBLANK($A73))</formula>
    </cfRule>
  </conditionalFormatting>
  <conditionalFormatting sqref="S74">
    <cfRule type="expression" dxfId="37" priority="47">
      <formula>CELL("row")=ROW()</formula>
    </cfRule>
    <cfRule type="expression" dxfId="36" priority="48">
      <formula>NOT(ISBLANK($A74))</formula>
    </cfRule>
  </conditionalFormatting>
  <conditionalFormatting sqref="S74">
    <cfRule type="expression" dxfId="35" priority="45">
      <formula>CELL("row")=ROW()</formula>
    </cfRule>
    <cfRule type="expression" dxfId="34" priority="46">
      <formula>NOT(ISBLANK($A74))</formula>
    </cfRule>
  </conditionalFormatting>
  <conditionalFormatting sqref="S74">
    <cfRule type="expression" dxfId="33" priority="43">
      <formula>CELL("row")=ROW()</formula>
    </cfRule>
    <cfRule type="expression" dxfId="32" priority="44">
      <formula>NOT(ISBLANK($A74))</formula>
    </cfRule>
  </conditionalFormatting>
  <conditionalFormatting sqref="S74">
    <cfRule type="expression" dxfId="31" priority="35">
      <formula>CELL("row")=ROW()</formula>
    </cfRule>
    <cfRule type="expression" dxfId="30" priority="36">
      <formula>NOT(ISBLANK($A74))</formula>
    </cfRule>
  </conditionalFormatting>
  <conditionalFormatting sqref="S74">
    <cfRule type="expression" dxfId="29" priority="33">
      <formula>CELL("row")=ROW()</formula>
    </cfRule>
    <cfRule type="expression" dxfId="28" priority="34">
      <formula>NOT(ISBLANK($A74))</formula>
    </cfRule>
  </conditionalFormatting>
  <conditionalFormatting sqref="S74">
    <cfRule type="expression" dxfId="27" priority="31">
      <formula>CELL("row")=ROW()</formula>
    </cfRule>
    <cfRule type="expression" dxfId="26" priority="32">
      <formula>NOT(ISBLANK($A74))</formula>
    </cfRule>
  </conditionalFormatting>
  <conditionalFormatting sqref="S73">
    <cfRule type="expression" dxfId="25" priority="29">
      <formula>CELL("row")=ROW()</formula>
    </cfRule>
    <cfRule type="expression" dxfId="24" priority="30">
      <formula>NOT(ISBLANK($A73))</formula>
    </cfRule>
  </conditionalFormatting>
  <conditionalFormatting sqref="S73">
    <cfRule type="expression" dxfId="23" priority="27">
      <formula>CELL("row")=ROW()</formula>
    </cfRule>
    <cfRule type="expression" dxfId="22" priority="28">
      <formula>NOT(ISBLANK($A73))</formula>
    </cfRule>
  </conditionalFormatting>
  <conditionalFormatting sqref="S73">
    <cfRule type="expression" dxfId="21" priority="25">
      <formula>CELL("row")=ROW()</formula>
    </cfRule>
    <cfRule type="expression" dxfId="20" priority="26">
      <formula>NOT(ISBLANK($A73))</formula>
    </cfRule>
  </conditionalFormatting>
  <conditionalFormatting sqref="S72">
    <cfRule type="expression" dxfId="19" priority="23">
      <formula>CELL("row")=ROW()</formula>
    </cfRule>
    <cfRule type="expression" dxfId="18" priority="24">
      <formula>NOT(ISBLANK($A72))</formula>
    </cfRule>
  </conditionalFormatting>
  <conditionalFormatting sqref="S72">
    <cfRule type="expression" dxfId="17" priority="21">
      <formula>CELL("row")=ROW()</formula>
    </cfRule>
    <cfRule type="expression" dxfId="16" priority="22">
      <formula>NOT(ISBLANK($A72))</formula>
    </cfRule>
  </conditionalFormatting>
  <conditionalFormatting sqref="S72">
    <cfRule type="expression" dxfId="15" priority="19">
      <formula>CELL("row")=ROW()</formula>
    </cfRule>
    <cfRule type="expression" dxfId="14" priority="20">
      <formula>NOT(ISBLANK($A72))</formula>
    </cfRule>
  </conditionalFormatting>
  <conditionalFormatting sqref="S69">
    <cfRule type="expression" dxfId="13" priority="17">
      <formula>CELL("row")=ROW()</formula>
    </cfRule>
    <cfRule type="expression" dxfId="12" priority="18">
      <formula>NOT(ISBLANK($A69))</formula>
    </cfRule>
  </conditionalFormatting>
  <conditionalFormatting sqref="S71">
    <cfRule type="expression" dxfId="11" priority="15">
      <formula>CELL("row")=ROW()</formula>
    </cfRule>
    <cfRule type="expression" dxfId="10" priority="16">
      <formula>NOT(ISBLANK($A71))</formula>
    </cfRule>
  </conditionalFormatting>
  <conditionalFormatting sqref="S71">
    <cfRule type="expression" dxfId="9" priority="13">
      <formula>CELL("row")=ROW()</formula>
    </cfRule>
    <cfRule type="expression" dxfId="8" priority="14">
      <formula>NOT(ISBLANK($A71))</formula>
    </cfRule>
  </conditionalFormatting>
  <conditionalFormatting sqref="S71">
    <cfRule type="expression" dxfId="7" priority="11">
      <formula>CELL("row")=ROW()</formula>
    </cfRule>
    <cfRule type="expression" dxfId="6" priority="12">
      <formula>NOT(ISBLANK($A71))</formula>
    </cfRule>
  </conditionalFormatting>
  <conditionalFormatting sqref="S71">
    <cfRule type="expression" dxfId="5" priority="9">
      <formula>CELL("row")=ROW()</formula>
    </cfRule>
    <cfRule type="expression" dxfId="4" priority="10">
      <formula>NOT(ISBLANK($A71))</formula>
    </cfRule>
  </conditionalFormatting>
  <conditionalFormatting sqref="S71">
    <cfRule type="expression" dxfId="3" priority="7">
      <formula>CELL("row")=ROW()</formula>
    </cfRule>
    <cfRule type="expression" dxfId="2" priority="8">
      <formula>NOT(ISBLANK($A71))</formula>
    </cfRule>
  </conditionalFormatting>
  <conditionalFormatting sqref="S71">
    <cfRule type="expression" dxfId="1" priority="5">
      <formula>CELL("row")=ROW()</formula>
    </cfRule>
    <cfRule type="expression" dxfId="0" priority="6">
      <formula>NOT(ISBLANK($A71))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legacyDrawing r:id="rId2"/>
  <controls>
    <control shapeId="1031" r:id="rId3" name="Check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技术指标</vt:lpstr>
      <vt:lpstr>我的自选</vt:lpstr>
      <vt:lpstr>我的自选!Print_Area</vt:lpstr>
      <vt:lpstr>我的自选!Print_Titles</vt:lpstr>
    </vt:vector>
  </TitlesOfParts>
  <Company>CNB Tec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YIP SIU</dc:creator>
  <cp:lastModifiedBy>dongdong</cp:lastModifiedBy>
  <cp:lastPrinted>2010-01-08T10:43:17Z</cp:lastPrinted>
  <dcterms:created xsi:type="dcterms:W3CDTF">2010-01-08T07:16:44Z</dcterms:created>
  <dcterms:modified xsi:type="dcterms:W3CDTF">2011-12-17T09:05:51Z</dcterms:modified>
</cp:coreProperties>
</file>